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48691\Desktop\Analiza danych pomiarowych\"/>
    </mc:Choice>
  </mc:AlternateContent>
  <xr:revisionPtr revIDLastSave="0" documentId="8_{C0CEBBAA-2511-4472-BA28-72ED2DF0C758}" xr6:coauthVersionLast="46" xr6:coauthVersionMax="46" xr10:uidLastSave="{00000000-0000-0000-0000-000000000000}"/>
  <bookViews>
    <workbookView xWindow="28680" yWindow="-120" windowWidth="29040" windowHeight="15840" xr2:uid="{4ACC8829-3815-49A4-A5B5-F84548964ADE}"/>
  </bookViews>
  <sheets>
    <sheet name="Arkusz1" sheetId="1" r:id="rId1"/>
  </sheets>
  <definedNames>
    <definedName name="_xlchart.v1.0" hidden="1">Arkusz1!$A$1:$A$400</definedName>
    <definedName name="_xlchart.v1.1" hidden="1">Arkusz1!$A$1:$A$400</definedName>
    <definedName name="Dane">Arkusz1!$C$1:$V$20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1" l="1"/>
  <c r="D40" i="1" s="1"/>
  <c r="E39" i="1"/>
  <c r="F39" i="1"/>
  <c r="F40" i="1" s="1"/>
  <c r="G39" i="1"/>
  <c r="E40" i="1"/>
  <c r="G40" i="1"/>
  <c r="I39" i="1"/>
  <c r="J39" i="1"/>
  <c r="J40" i="1" s="1"/>
  <c r="K39" i="1"/>
  <c r="I40" i="1"/>
  <c r="K40" i="1"/>
  <c r="H40" i="1"/>
  <c r="H39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1" i="1" l="1"/>
  <c r="K37" i="1"/>
  <c r="K38" i="1" s="1"/>
  <c r="J37" i="1"/>
  <c r="J38" i="1" s="1"/>
  <c r="I37" i="1"/>
  <c r="F38" i="1" s="1"/>
  <c r="H37" i="1"/>
  <c r="H38" i="1" s="1"/>
  <c r="G37" i="1"/>
  <c r="G38" i="1" s="1"/>
  <c r="F37" i="1"/>
  <c r="E37" i="1"/>
  <c r="E38" i="1" s="1"/>
  <c r="D37" i="1"/>
  <c r="D38" i="1" s="1"/>
  <c r="I38" i="1" l="1"/>
</calcChain>
</file>

<file path=xl/sharedStrings.xml><?xml version="1.0" encoding="utf-8"?>
<sst xmlns="http://schemas.openxmlformats.org/spreadsheetml/2006/main" count="13" uniqueCount="13">
  <si>
    <t>(0,8-0,85&gt;</t>
  </si>
  <si>
    <t>(0,85-0,9&gt;</t>
  </si>
  <si>
    <t>(1,00-1,05&gt;</t>
  </si>
  <si>
    <t>(1,05-1.1&gt;</t>
  </si>
  <si>
    <t>(1.15-1.2&gt;</t>
  </si>
  <si>
    <t>(0,9-0.9,5&gt;</t>
  </si>
  <si>
    <t>(0,95-1,00&gt;</t>
  </si>
  <si>
    <t>(1,1-1,15&gt;</t>
  </si>
  <si>
    <t>Przedziały</t>
  </si>
  <si>
    <t>Liczba pomiarów</t>
  </si>
  <si>
    <t>Częstość pomiarów</t>
  </si>
  <si>
    <t>fk</t>
  </si>
  <si>
    <t>Szerokość przedziału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</si>
</sst>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1"/>
      <color rgb="FF252424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2" borderId="1" xfId="0" applyFont="1" applyFill="1" applyBorder="1"/>
    <xf numFmtId="0" fontId="1" fillId="3" borderId="1" xfId="0" applyFont="1" applyFill="1" applyBorder="1"/>
    <xf numFmtId="0" fontId="2" fillId="4" borderId="1" xfId="0" applyFont="1" applyFill="1" applyBorder="1"/>
    <xf numFmtId="0" fontId="0" fillId="4" borderId="1" xfId="0" applyFill="1" applyBorder="1"/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/>
    <xf numFmtId="0" fontId="0" fillId="5" borderId="1" xfId="0" applyFill="1" applyBorder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 częstości pomiarów w danych przedziałach</a:t>
            </a:r>
            <a:r>
              <a:rPr lang="pl-PL" baseline="0"/>
              <a:t> </a:t>
            </a:r>
          </a:p>
          <a:p>
            <a:pPr>
              <a:defRPr/>
            </a:pPr>
            <a:r>
              <a:rPr lang="pl-PL"/>
              <a:t>(po odrzuceniu skrajnych)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Arkusz1!$C$40</c:f>
              <c:strCache>
                <c:ptCount val="1"/>
                <c:pt idx="0">
                  <c:v>fk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Arkusz1!$D$36:$K$36</c:f>
              <c:strCache>
                <c:ptCount val="8"/>
                <c:pt idx="0">
                  <c:v>(0,8-0,85&gt;</c:v>
                </c:pt>
                <c:pt idx="1">
                  <c:v>(0,85-0,9&gt;</c:v>
                </c:pt>
                <c:pt idx="2">
                  <c:v>(0,9-0.9,5&gt;</c:v>
                </c:pt>
                <c:pt idx="3">
                  <c:v>(0,95-1,00&gt;</c:v>
                </c:pt>
                <c:pt idx="4">
                  <c:v>(1,00-1,05&gt;</c:v>
                </c:pt>
                <c:pt idx="5">
                  <c:v>(1,05-1.1&gt;</c:v>
                </c:pt>
                <c:pt idx="6">
                  <c:v>(1,1-1,15&gt;</c:v>
                </c:pt>
                <c:pt idx="7">
                  <c:v>(1.15-1.2&gt;</c:v>
                </c:pt>
              </c:strCache>
            </c:strRef>
          </c:cat>
          <c:val>
            <c:numRef>
              <c:f>Arkusz1!$D$40:$K$40</c:f>
              <c:numCache>
                <c:formatCode>General</c:formatCode>
                <c:ptCount val="8"/>
                <c:pt idx="0">
                  <c:v>0.35989717223650386</c:v>
                </c:pt>
                <c:pt idx="1">
                  <c:v>1.1311053984575834</c:v>
                </c:pt>
                <c:pt idx="2">
                  <c:v>3.0334190231362466</c:v>
                </c:pt>
                <c:pt idx="3">
                  <c:v>4.6786632390745497</c:v>
                </c:pt>
                <c:pt idx="4">
                  <c:v>5.2956298200514134</c:v>
                </c:pt>
                <c:pt idx="5">
                  <c:v>2.9305912596401029</c:v>
                </c:pt>
                <c:pt idx="6">
                  <c:v>1.6966580976863754</c:v>
                </c:pt>
                <c:pt idx="7">
                  <c:v>0.87403598971722363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0-468A-8618-5061C56B9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"/>
        <c:axId val="1478775135"/>
        <c:axId val="1478769311"/>
      </c:barChart>
      <c:catAx>
        <c:axId val="1478775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Przedziały</a:t>
                </a:r>
              </a:p>
            </c:rich>
          </c:tx>
          <c:layout>
            <c:manualLayout>
              <c:xMode val="edge"/>
              <c:yMode val="edge"/>
              <c:x val="0.52214425704791168"/>
              <c:y val="0.883713774532508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78769311"/>
        <c:crosses val="autoZero"/>
        <c:auto val="1"/>
        <c:lblAlgn val="ctr"/>
        <c:lblOffset val="100"/>
        <c:noMultiLvlLbl val="0"/>
      </c:catAx>
      <c:valAx>
        <c:axId val="147876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fk</a:t>
                </a:r>
              </a:p>
            </c:rich>
          </c:tx>
          <c:layout>
            <c:manualLayout>
              <c:xMode val="edge"/>
              <c:yMode val="edge"/>
              <c:x val="1.8973081939997628E-2"/>
              <c:y val="0.462314824283328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78775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- wyniki wszystkich pomiarów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 - wyniki wszystkich pomiarów</a:t>
          </a:r>
        </a:p>
      </cx:txPr>
    </cx:title>
    <cx:plotArea>
      <cx:plotAreaRegion>
        <cx:series layoutId="clusteredColumn" uniqueId="{DF2C9CE9-4A51-4390-9D00-47326CF63EFB}">
          <cx:dataId val="0"/>
          <cx:layoutPr>
            <cx:binning intervalClosed="r" underflow="0.80000000000000004" overflow="1.2">
              <cx:binSize val="0.05000000000000001"/>
            </cx:binning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pl-PL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68580</xdr:rowOff>
        </xdr:from>
        <xdr:to>
          <xdr:col>1</xdr:col>
          <xdr:colOff>1531620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Ustaw w kolumnie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1623060</xdr:colOff>
      <xdr:row>20</xdr:row>
      <xdr:rowOff>68580</xdr:rowOff>
    </xdr:from>
    <xdr:to>
      <xdr:col>19</xdr:col>
      <xdr:colOff>175260</xdr:colOff>
      <xdr:row>34</xdr:row>
      <xdr:rowOff>64770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Wykres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76475" y="3686175"/>
              <a:ext cx="10887075" cy="2529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11</xdr:col>
      <xdr:colOff>211454</xdr:colOff>
      <xdr:row>35</xdr:row>
      <xdr:rowOff>77152</xdr:rowOff>
    </xdr:from>
    <xdr:to>
      <xdr:col>20</xdr:col>
      <xdr:colOff>76199</xdr:colOff>
      <xdr:row>46</xdr:row>
      <xdr:rowOff>92392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50FC7B3C-B49E-48AA-A8D7-178A5FA807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F239-6ADB-4450-A305-558786A76A7A}">
  <sheetPr codeName="Arkusz1"/>
  <dimension ref="A1:V400"/>
  <sheetViews>
    <sheetView tabSelected="1" topLeftCell="A16" workbookViewId="0">
      <selection activeCell="G48" sqref="G48"/>
    </sheetView>
  </sheetViews>
  <sheetFormatPr defaultRowHeight="14.4" x14ac:dyDescent="0.3"/>
  <cols>
    <col min="1" max="1" width="9.5546875" customWidth="1"/>
    <col min="2" max="2" width="23.88671875" customWidth="1"/>
    <col min="3" max="3" width="9.88671875" bestFit="1" customWidth="1"/>
    <col min="4" max="4" width="9.44140625" bestFit="1" customWidth="1"/>
    <col min="5" max="5" width="9.33203125" bestFit="1" customWidth="1"/>
    <col min="6" max="7" width="10.109375" bestFit="1" customWidth="1"/>
    <col min="8" max="8" width="9.21875" bestFit="1" customWidth="1"/>
    <col min="9" max="10" width="9.33203125" bestFit="1" customWidth="1"/>
  </cols>
  <sheetData>
    <row r="1" spans="1:22" x14ac:dyDescent="0.3">
      <c r="A1">
        <f>INDEX(Dane,1,1)</f>
        <v>1.0092589999999999</v>
      </c>
      <c r="C1" s="1">
        <v>1.0092589999999999</v>
      </c>
      <c r="D1" s="1">
        <v>0.96296300000000001</v>
      </c>
      <c r="E1" s="1">
        <v>1.1226849999999999</v>
      </c>
      <c r="F1" s="1">
        <v>0.859954</v>
      </c>
      <c r="G1" s="1">
        <v>1.175926</v>
      </c>
      <c r="H1" s="1">
        <v>1.0833330000000001</v>
      </c>
      <c r="I1" s="1">
        <v>1.2037040000000001</v>
      </c>
      <c r="J1" s="1">
        <v>1.175926</v>
      </c>
      <c r="K1" s="1">
        <v>1.2199070000000001</v>
      </c>
      <c r="L1" s="1">
        <v>1.075231</v>
      </c>
      <c r="M1" s="1">
        <v>1.1550929999999999</v>
      </c>
      <c r="N1" s="1">
        <v>0.93634300000000004</v>
      </c>
      <c r="O1" s="1">
        <v>1.2488429999999999</v>
      </c>
      <c r="P1" s="1">
        <v>1.111111</v>
      </c>
      <c r="Q1" s="1">
        <v>1.1203700000000001</v>
      </c>
      <c r="R1" s="1">
        <v>1.174769</v>
      </c>
      <c r="S1" s="1">
        <v>1.1018520000000001</v>
      </c>
      <c r="T1" s="1">
        <v>1.167824</v>
      </c>
      <c r="U1" s="1">
        <v>1.1840280000000001</v>
      </c>
      <c r="V1" s="1">
        <v>0.91550900000000002</v>
      </c>
    </row>
    <row r="2" spans="1:22" x14ac:dyDescent="0.3">
      <c r="A2">
        <f>INDEX(Dane,1,2)</f>
        <v>0.96296300000000001</v>
      </c>
      <c r="C2" s="3">
        <v>1.1220000000000001</v>
      </c>
      <c r="D2" s="3">
        <v>1</v>
      </c>
      <c r="E2" s="3">
        <v>0.91400000000000003</v>
      </c>
      <c r="F2" s="3">
        <v>1.008</v>
      </c>
      <c r="G2" s="3">
        <v>1.03</v>
      </c>
      <c r="H2" s="3">
        <v>1.03</v>
      </c>
      <c r="I2" s="3">
        <v>0.90600000000000003</v>
      </c>
      <c r="J2" s="3">
        <v>0.96799999999999997</v>
      </c>
      <c r="K2" s="3">
        <v>1.024</v>
      </c>
      <c r="L2" s="3">
        <v>0.998</v>
      </c>
      <c r="M2" s="3">
        <v>1.1839999999999999</v>
      </c>
      <c r="N2" s="3">
        <v>1.0609999999999999</v>
      </c>
      <c r="O2" s="3">
        <v>0.94499999999999995</v>
      </c>
      <c r="P2" s="3">
        <v>0.998</v>
      </c>
      <c r="Q2" s="3">
        <v>1.038</v>
      </c>
      <c r="R2" s="3">
        <v>1.03</v>
      </c>
      <c r="S2" s="3">
        <v>0.97599999999999998</v>
      </c>
      <c r="T2" s="3">
        <v>0.96799999999999997</v>
      </c>
      <c r="U2" s="3">
        <v>0.96</v>
      </c>
      <c r="V2" s="3">
        <v>1.03</v>
      </c>
    </row>
    <row r="3" spans="1:22" x14ac:dyDescent="0.3">
      <c r="A3">
        <f>INDEX(Dane,1,3)</f>
        <v>1.1226849999999999</v>
      </c>
      <c r="C3" s="3">
        <v>1.3180000000000001</v>
      </c>
      <c r="D3" s="3">
        <v>0.753</v>
      </c>
      <c r="E3" s="3">
        <v>1.0029999999999999</v>
      </c>
      <c r="F3" s="3">
        <v>1.109</v>
      </c>
      <c r="G3" s="3">
        <v>1.1120000000000001</v>
      </c>
      <c r="H3" s="3">
        <v>1.0029999999999999</v>
      </c>
      <c r="I3" s="3">
        <v>0.97199999999999998</v>
      </c>
      <c r="J3" s="3">
        <v>0.89500000000000002</v>
      </c>
      <c r="K3" s="3">
        <v>0.84599999999999997</v>
      </c>
      <c r="L3" s="3">
        <v>0.99199999999999999</v>
      </c>
      <c r="M3" s="3">
        <v>1.0309999999999999</v>
      </c>
      <c r="N3" s="3">
        <v>0.996</v>
      </c>
      <c r="O3" s="3">
        <v>1.1279999999999999</v>
      </c>
      <c r="P3" s="3">
        <v>0.98799999999999999</v>
      </c>
      <c r="Q3" s="3">
        <v>0.877</v>
      </c>
      <c r="R3" s="3">
        <v>0.97299999999999998</v>
      </c>
      <c r="S3" s="3">
        <v>1.08</v>
      </c>
      <c r="T3" s="3">
        <v>1.0029999999999999</v>
      </c>
      <c r="U3" s="3">
        <v>0.91</v>
      </c>
      <c r="V3" s="3">
        <v>1.0609999999999999</v>
      </c>
    </row>
    <row r="4" spans="1:22" x14ac:dyDescent="0.3">
      <c r="A4">
        <f>INDEX(Dane,1,4)</f>
        <v>0.859954</v>
      </c>
      <c r="C4" s="1">
        <v>0.91200000000000003</v>
      </c>
      <c r="D4" s="1">
        <v>1.1200000000000001</v>
      </c>
      <c r="E4" s="1">
        <v>0.94</v>
      </c>
      <c r="F4" s="1">
        <v>0.96</v>
      </c>
      <c r="G4" s="1">
        <v>1.024</v>
      </c>
      <c r="H4" s="1">
        <v>1.099</v>
      </c>
      <c r="I4" s="1">
        <v>0.92900000000000005</v>
      </c>
      <c r="J4" s="1">
        <v>0.96299999999999997</v>
      </c>
      <c r="K4" s="1">
        <v>0.99099999999999999</v>
      </c>
      <c r="L4" s="1">
        <v>0.94399999999999995</v>
      </c>
      <c r="M4" s="1">
        <v>0.88700000000000001</v>
      </c>
      <c r="N4" s="1">
        <v>0.89600000000000002</v>
      </c>
      <c r="O4" s="1">
        <v>1.1279999999999999</v>
      </c>
      <c r="P4" s="1">
        <v>1.0489999999999999</v>
      </c>
      <c r="Q4" s="1">
        <v>1.095</v>
      </c>
      <c r="R4" s="1">
        <v>1.1040000000000001</v>
      </c>
      <c r="S4" s="1">
        <v>0.96</v>
      </c>
      <c r="T4" s="1">
        <v>1.04</v>
      </c>
      <c r="U4" s="1">
        <v>1.0029999999999999</v>
      </c>
      <c r="V4" s="1">
        <v>1.0629999999999999</v>
      </c>
    </row>
    <row r="5" spans="1:22" x14ac:dyDescent="0.3">
      <c r="A5">
        <f>INDEX(Dane,1,5)</f>
        <v>1.175926</v>
      </c>
      <c r="C5" s="3">
        <v>1.018</v>
      </c>
      <c r="D5" s="3">
        <v>0.97499999999999998</v>
      </c>
      <c r="E5" s="3">
        <v>0.95899999999999996</v>
      </c>
      <c r="F5" s="3">
        <v>1.0660000000000001</v>
      </c>
      <c r="G5" s="3">
        <v>1.008</v>
      </c>
      <c r="H5" s="3">
        <v>0.90200000000000002</v>
      </c>
      <c r="I5" s="3">
        <v>0.88600000000000001</v>
      </c>
      <c r="J5" s="3">
        <v>0.91200000000000003</v>
      </c>
      <c r="K5" s="3">
        <v>1.054</v>
      </c>
      <c r="L5" s="3">
        <v>1.0640000000000001</v>
      </c>
      <c r="M5" s="3">
        <v>0.93200000000000005</v>
      </c>
      <c r="N5" s="3">
        <v>0.93400000000000005</v>
      </c>
      <c r="O5" s="3">
        <v>0.97599999999999998</v>
      </c>
      <c r="P5" s="3">
        <v>1.1399999999999999</v>
      </c>
      <c r="Q5" s="3">
        <v>1.002</v>
      </c>
      <c r="R5" s="3">
        <v>1.024</v>
      </c>
      <c r="S5" s="3">
        <v>0.96399999999999997</v>
      </c>
      <c r="T5" s="3">
        <v>0.91800000000000004</v>
      </c>
      <c r="U5" s="3">
        <v>0.98799999999999999</v>
      </c>
      <c r="V5" s="3">
        <v>0.95799999999999996</v>
      </c>
    </row>
    <row r="6" spans="1:22" x14ac:dyDescent="0.3">
      <c r="A6">
        <f>INDEX(Dane,1,6)</f>
        <v>1.0833330000000001</v>
      </c>
      <c r="C6" s="3">
        <v>0.97299999999999998</v>
      </c>
      <c r="D6" s="3">
        <v>0.88</v>
      </c>
      <c r="E6" s="3">
        <v>0.93200000000000005</v>
      </c>
      <c r="F6" s="3">
        <v>1.004</v>
      </c>
      <c r="G6" s="3">
        <v>0.80900000000000005</v>
      </c>
      <c r="H6" s="3">
        <v>1.0329999999999999</v>
      </c>
      <c r="I6" s="3">
        <v>0.90800000000000003</v>
      </c>
      <c r="J6" s="3">
        <v>1.0940000000000001</v>
      </c>
      <c r="K6" s="3">
        <v>1.002</v>
      </c>
      <c r="L6" s="3">
        <v>1.1259999999999999</v>
      </c>
      <c r="M6" s="3">
        <v>1.149</v>
      </c>
      <c r="N6" s="3">
        <v>1.0109999999999999</v>
      </c>
      <c r="O6" s="3">
        <v>0.95699999999999996</v>
      </c>
      <c r="P6" s="3">
        <v>1.018</v>
      </c>
      <c r="Q6" s="3">
        <v>1.024</v>
      </c>
      <c r="R6" s="3">
        <v>1.0329999999999999</v>
      </c>
      <c r="S6" s="3">
        <v>0.99399999999999999</v>
      </c>
      <c r="T6" s="3">
        <v>1.105</v>
      </c>
      <c r="U6" s="1">
        <v>1.0640000000000001</v>
      </c>
      <c r="V6" s="3">
        <v>0.92400000000000004</v>
      </c>
    </row>
    <row r="7" spans="1:22" x14ac:dyDescent="0.3">
      <c r="A7">
        <f>INDEX(Dane,1,7)</f>
        <v>1.2037040000000001</v>
      </c>
      <c r="C7" s="3">
        <v>1.0820000000000001</v>
      </c>
      <c r="D7" s="3">
        <v>0.93700000000000006</v>
      </c>
      <c r="E7" s="3">
        <v>1.1000000000000001</v>
      </c>
      <c r="F7" s="3">
        <v>0.999</v>
      </c>
      <c r="G7" s="3">
        <v>0.97399999999999998</v>
      </c>
      <c r="H7" s="3">
        <v>0.81399999999999995</v>
      </c>
      <c r="I7" s="3">
        <v>0.90200000000000002</v>
      </c>
      <c r="J7" s="3">
        <v>1.0609999999999999</v>
      </c>
      <c r="K7" s="3">
        <v>1.0640000000000001</v>
      </c>
      <c r="L7" s="3">
        <v>0.94299999999999995</v>
      </c>
      <c r="M7" s="3">
        <v>1.0640000000000001</v>
      </c>
      <c r="N7" s="3">
        <v>1.036</v>
      </c>
      <c r="O7" s="3">
        <v>1.18</v>
      </c>
      <c r="P7" s="3">
        <v>0.877</v>
      </c>
      <c r="Q7" s="3">
        <v>1.141</v>
      </c>
      <c r="R7" s="3">
        <v>1.08</v>
      </c>
      <c r="S7" s="3">
        <v>1.171</v>
      </c>
      <c r="T7" s="3">
        <v>1.077</v>
      </c>
      <c r="U7" s="3">
        <v>1.0469999999999999</v>
      </c>
      <c r="V7" s="3">
        <v>0.96899999999999997</v>
      </c>
    </row>
    <row r="8" spans="1:22" x14ac:dyDescent="0.3">
      <c r="A8">
        <f>INDEX(Dane,1,8)</f>
        <v>1.175926</v>
      </c>
      <c r="C8" s="1">
        <v>1.198</v>
      </c>
      <c r="D8" s="1">
        <v>1.0149999999999999</v>
      </c>
      <c r="E8" s="1">
        <v>0.95099999999999996</v>
      </c>
      <c r="F8" s="1">
        <v>1.014</v>
      </c>
      <c r="G8" s="1">
        <v>0.97199999999999998</v>
      </c>
      <c r="H8" s="1">
        <v>1.008</v>
      </c>
      <c r="I8" s="1">
        <v>1.0369999999999999</v>
      </c>
      <c r="J8" s="1">
        <v>1.0580000000000001</v>
      </c>
      <c r="K8" s="1">
        <v>0.99399999999999999</v>
      </c>
      <c r="L8" s="1">
        <v>0.93700000000000006</v>
      </c>
      <c r="M8" s="1">
        <v>1.05</v>
      </c>
      <c r="N8" s="1">
        <v>0.93</v>
      </c>
      <c r="O8" s="1">
        <v>0.85299999999999998</v>
      </c>
      <c r="P8" s="1">
        <v>0.92300000000000004</v>
      </c>
      <c r="Q8" s="1">
        <v>1.0629999999999999</v>
      </c>
      <c r="R8" s="1">
        <v>1.038</v>
      </c>
      <c r="S8" s="1">
        <v>0.97199999999999998</v>
      </c>
      <c r="T8" s="1">
        <v>1.1499999999999999</v>
      </c>
      <c r="U8" s="1">
        <v>1.0349999999999999</v>
      </c>
      <c r="V8" s="1">
        <v>0.94599999999999995</v>
      </c>
    </row>
    <row r="9" spans="1:22" x14ac:dyDescent="0.3">
      <c r="A9">
        <f>INDEX(Dane,1,9)</f>
        <v>1.2199070000000001</v>
      </c>
      <c r="C9" s="2">
        <v>1.1200000000000001</v>
      </c>
      <c r="D9" s="2">
        <v>1.016</v>
      </c>
      <c r="E9" s="2">
        <v>0.92</v>
      </c>
      <c r="F9" s="2">
        <v>0.98399999999999999</v>
      </c>
      <c r="G9" s="2">
        <v>1.04</v>
      </c>
      <c r="H9" s="2">
        <v>1.008</v>
      </c>
      <c r="I9" s="2">
        <v>1.0720000000000001</v>
      </c>
      <c r="J9" s="2">
        <v>0.98399999999999999</v>
      </c>
      <c r="K9" s="2">
        <v>1.048</v>
      </c>
      <c r="L9" s="2">
        <v>1.1200000000000001</v>
      </c>
      <c r="M9" s="2">
        <v>0.92</v>
      </c>
      <c r="N9" s="2">
        <v>1.04</v>
      </c>
      <c r="O9" s="2">
        <v>1.0960000000000001</v>
      </c>
      <c r="P9" s="2">
        <v>0.92800000000000005</v>
      </c>
      <c r="Q9" s="2">
        <v>0.94399999999999995</v>
      </c>
      <c r="R9" s="2">
        <v>1.0389999999999999</v>
      </c>
      <c r="S9" s="2">
        <v>1.048</v>
      </c>
      <c r="T9" s="2">
        <v>1.056</v>
      </c>
      <c r="U9" s="2">
        <v>0.95199999999999996</v>
      </c>
      <c r="V9" s="2">
        <v>0.93300000000000005</v>
      </c>
    </row>
    <row r="10" spans="1:22" x14ac:dyDescent="0.3">
      <c r="A10">
        <f>INDEX(Dane,1,10)</f>
        <v>1.075231</v>
      </c>
      <c r="C10" s="2">
        <v>1.03</v>
      </c>
      <c r="D10" s="2">
        <v>1.0269999999999999</v>
      </c>
      <c r="E10" s="2">
        <v>1.0129999999999999</v>
      </c>
      <c r="F10" s="2">
        <v>1.0169999999999999</v>
      </c>
      <c r="G10" s="2">
        <v>1.022</v>
      </c>
      <c r="H10" s="2">
        <v>0.93700000000000006</v>
      </c>
      <c r="I10" s="2">
        <v>1.0629999999999999</v>
      </c>
      <c r="J10" s="2">
        <v>0.96899999999999997</v>
      </c>
      <c r="K10" s="2">
        <v>0.92500000000000004</v>
      </c>
      <c r="L10" s="2">
        <v>1.042</v>
      </c>
      <c r="M10" s="2">
        <v>0.95699999999999996</v>
      </c>
      <c r="N10" s="2">
        <v>1.0149999999999999</v>
      </c>
      <c r="O10" s="2">
        <v>1.014</v>
      </c>
      <c r="P10" s="2">
        <v>0.96799999999999997</v>
      </c>
      <c r="Q10" s="2">
        <v>0.82299999999999995</v>
      </c>
      <c r="R10" s="2">
        <v>0.95199999999999996</v>
      </c>
      <c r="S10" s="2">
        <v>1.1080000000000001</v>
      </c>
      <c r="T10" s="2">
        <v>1.052</v>
      </c>
      <c r="U10" s="2">
        <v>1.0249999999999999</v>
      </c>
      <c r="V10" s="2">
        <v>0.97799999999999998</v>
      </c>
    </row>
    <row r="11" spans="1:22" x14ac:dyDescent="0.3">
      <c r="A11">
        <f>INDEX(Dane,1,11)</f>
        <v>1.1550929999999999</v>
      </c>
      <c r="C11" s="4">
        <v>1.3660000000000001</v>
      </c>
      <c r="D11" s="4">
        <v>0.96099999999999997</v>
      </c>
      <c r="E11" s="4">
        <v>0.95399999999999996</v>
      </c>
      <c r="F11" s="4">
        <v>1.0960000000000001</v>
      </c>
      <c r="G11" s="4">
        <v>0.92500000000000004</v>
      </c>
      <c r="H11" s="4">
        <v>1.01</v>
      </c>
      <c r="I11" s="4">
        <v>0.93600000000000005</v>
      </c>
      <c r="J11" s="4">
        <v>0.95299999999999996</v>
      </c>
      <c r="K11" s="4">
        <v>0.997</v>
      </c>
      <c r="L11" s="4">
        <v>1.1100000000000001</v>
      </c>
      <c r="M11" s="4">
        <v>0.88700000000000001</v>
      </c>
      <c r="N11" s="4">
        <v>0.93100000000000005</v>
      </c>
      <c r="O11" s="4">
        <v>0.93300000000000005</v>
      </c>
      <c r="P11" s="4">
        <v>0.88100000000000001</v>
      </c>
      <c r="Q11" s="4">
        <v>1.115</v>
      </c>
      <c r="R11" s="4">
        <v>1.2170000000000001</v>
      </c>
      <c r="S11" s="4">
        <v>1.073</v>
      </c>
      <c r="T11" s="4">
        <v>0.995</v>
      </c>
      <c r="U11" s="4">
        <v>1.0109999999999999</v>
      </c>
      <c r="V11" s="4">
        <v>0.995</v>
      </c>
    </row>
    <row r="12" spans="1:22" x14ac:dyDescent="0.3">
      <c r="A12">
        <f>INDEX(Dane,1,12)</f>
        <v>0.93634300000000004</v>
      </c>
      <c r="C12" s="2">
        <v>0.93600000000000005</v>
      </c>
      <c r="D12" s="2">
        <v>1.0089999999999999</v>
      </c>
      <c r="E12" s="2">
        <v>1.1299999999999999</v>
      </c>
      <c r="F12" s="2">
        <v>1.1679999999999999</v>
      </c>
      <c r="G12" s="2">
        <v>1.1439999999999999</v>
      </c>
      <c r="H12" s="2">
        <v>1.1359999999999999</v>
      </c>
      <c r="I12" s="2">
        <v>0.99199999999999999</v>
      </c>
      <c r="J12" s="2">
        <v>0.99299999999999999</v>
      </c>
      <c r="K12" s="2">
        <v>1.0489999999999999</v>
      </c>
      <c r="L12" s="2">
        <v>1.0649999999999999</v>
      </c>
      <c r="M12" s="2">
        <v>1.097</v>
      </c>
      <c r="N12" s="2">
        <v>1.2</v>
      </c>
      <c r="O12" s="2">
        <v>1.008</v>
      </c>
      <c r="P12" s="2">
        <v>1.008</v>
      </c>
      <c r="Q12" s="2">
        <v>0.96799999999999997</v>
      </c>
      <c r="R12" s="2">
        <v>1.1120000000000001</v>
      </c>
      <c r="S12" s="2">
        <v>1.04</v>
      </c>
      <c r="T12" s="2">
        <v>1.2</v>
      </c>
      <c r="U12" s="2">
        <v>1.0249999999999999</v>
      </c>
      <c r="V12" s="2">
        <v>1</v>
      </c>
    </row>
    <row r="13" spans="1:22" x14ac:dyDescent="0.3">
      <c r="A13">
        <f>INDEX(Dane,1,13)</f>
        <v>1.2488429999999999</v>
      </c>
      <c r="C13" s="4">
        <v>1.2589999999999999</v>
      </c>
      <c r="D13" s="2">
        <v>1.0649999999999999</v>
      </c>
      <c r="E13" s="4">
        <v>0.96799999999999997</v>
      </c>
      <c r="F13" s="4">
        <v>1.042</v>
      </c>
      <c r="G13" s="4">
        <v>0.93700000000000006</v>
      </c>
      <c r="H13" s="4">
        <v>1.0649999999999999</v>
      </c>
      <c r="I13" s="4">
        <v>1.018</v>
      </c>
      <c r="J13" s="4">
        <v>1.08</v>
      </c>
      <c r="K13" s="4">
        <v>1.1779999999999999</v>
      </c>
      <c r="L13" s="4">
        <v>0.95099999999999996</v>
      </c>
      <c r="M13" s="4">
        <v>0.86899999999999999</v>
      </c>
      <c r="N13" s="4">
        <v>0.98799999999999999</v>
      </c>
      <c r="O13" s="4">
        <v>1.0940000000000001</v>
      </c>
      <c r="P13" s="4">
        <v>0.89900000000000002</v>
      </c>
      <c r="Q13" s="4">
        <v>1.071</v>
      </c>
      <c r="R13" s="4">
        <v>1.117</v>
      </c>
      <c r="S13" s="4">
        <v>0.97299999999999998</v>
      </c>
      <c r="T13" s="4">
        <v>0.98299999999999998</v>
      </c>
      <c r="U13" s="4">
        <v>0.98399999999999999</v>
      </c>
      <c r="V13" s="4">
        <v>1.05</v>
      </c>
    </row>
    <row r="14" spans="1:22" x14ac:dyDescent="0.3">
      <c r="A14">
        <f>INDEX(Dane,1,14)</f>
        <v>1.111111</v>
      </c>
      <c r="C14" s="2">
        <v>0.93700000000000006</v>
      </c>
      <c r="D14" s="2">
        <v>1.089</v>
      </c>
      <c r="E14" s="2">
        <v>0.90500000000000003</v>
      </c>
      <c r="F14" s="2">
        <v>0.94099999999999995</v>
      </c>
      <c r="G14" s="2">
        <v>0.99399999999999999</v>
      </c>
      <c r="H14" s="2">
        <v>0.98599999999999999</v>
      </c>
      <c r="I14" s="2">
        <v>1.012</v>
      </c>
      <c r="J14" s="2">
        <v>1.026</v>
      </c>
      <c r="K14" s="2">
        <v>0.98199999999999998</v>
      </c>
      <c r="L14" s="2">
        <v>0.96799999999999997</v>
      </c>
      <c r="M14" s="2">
        <v>0.93300000000000005</v>
      </c>
      <c r="N14" s="2">
        <v>0.94099999999999995</v>
      </c>
      <c r="O14" s="2">
        <v>0.95599999999999996</v>
      </c>
      <c r="P14" s="2">
        <v>1.042</v>
      </c>
      <c r="Q14" s="2">
        <v>0.86099999999999999</v>
      </c>
      <c r="R14" s="2">
        <v>1.0289999999999999</v>
      </c>
      <c r="S14" s="2">
        <v>1.0589999999999999</v>
      </c>
      <c r="T14" s="2">
        <v>1.0309999999999999</v>
      </c>
      <c r="U14" s="2">
        <v>0.96099999999999997</v>
      </c>
      <c r="V14" s="2">
        <v>0.93799999999999994</v>
      </c>
    </row>
    <row r="15" spans="1:22" x14ac:dyDescent="0.3">
      <c r="A15">
        <f>INDEX(Dane,1,15)</f>
        <v>1.1203700000000001</v>
      </c>
      <c r="C15" s="2">
        <v>0.97899999999999998</v>
      </c>
      <c r="D15" s="2">
        <v>1.0369999999999999</v>
      </c>
      <c r="E15" s="2">
        <v>0.93</v>
      </c>
      <c r="F15" s="2">
        <v>0.98</v>
      </c>
      <c r="G15" s="2">
        <v>0.98799999999999999</v>
      </c>
      <c r="H15" s="2">
        <v>0.94899999999999995</v>
      </c>
      <c r="I15" s="2">
        <v>0.96499999999999997</v>
      </c>
      <c r="J15" s="2">
        <v>1.0009999999999999</v>
      </c>
      <c r="K15" s="2">
        <v>1.002</v>
      </c>
      <c r="L15" s="2">
        <v>0.999</v>
      </c>
      <c r="M15" s="2">
        <v>1.0209999999999999</v>
      </c>
      <c r="N15" s="2">
        <v>0.996</v>
      </c>
      <c r="O15" s="2">
        <v>0.97499999999999998</v>
      </c>
      <c r="P15" s="2">
        <v>1.01</v>
      </c>
      <c r="Q15" s="2">
        <v>0.95699999999999996</v>
      </c>
      <c r="R15" s="2">
        <v>0.98799999999999999</v>
      </c>
      <c r="S15" s="2">
        <v>0.996</v>
      </c>
      <c r="T15" s="2">
        <v>0.98299999999999998</v>
      </c>
      <c r="U15" s="2">
        <v>1.002</v>
      </c>
      <c r="V15" s="2">
        <v>1.0740000000000001</v>
      </c>
    </row>
    <row r="16" spans="1:22" x14ac:dyDescent="0.3">
      <c r="A16">
        <f>INDEX(Dane,1,16)</f>
        <v>1.174769</v>
      </c>
      <c r="C16" s="2">
        <v>0.96</v>
      </c>
      <c r="D16" s="4">
        <v>1.129</v>
      </c>
      <c r="E16" s="4">
        <v>0.90600000000000003</v>
      </c>
      <c r="F16" s="4">
        <v>1</v>
      </c>
      <c r="G16" s="4">
        <v>1.0329999999999999</v>
      </c>
      <c r="H16" s="4">
        <v>0.91400000000000003</v>
      </c>
      <c r="I16" s="4">
        <v>0.85799999999999998</v>
      </c>
      <c r="J16" s="4">
        <v>1.0920000000000001</v>
      </c>
      <c r="K16" s="4">
        <v>0.91200000000000003</v>
      </c>
      <c r="L16" s="4">
        <v>0.95099999999999996</v>
      </c>
      <c r="M16" s="4">
        <v>0.90300000000000002</v>
      </c>
      <c r="N16" s="4">
        <v>1.0329999999999999</v>
      </c>
      <c r="O16" s="4">
        <v>1.121</v>
      </c>
      <c r="P16" s="4">
        <v>0.85899999999999999</v>
      </c>
      <c r="Q16" s="4">
        <v>1.1659999999999999</v>
      </c>
      <c r="R16" s="4">
        <v>0.83599999999999997</v>
      </c>
      <c r="S16" s="4">
        <v>1.095</v>
      </c>
      <c r="T16" s="4">
        <v>1.1559999999999999</v>
      </c>
      <c r="U16" s="4">
        <v>0.99299999999999999</v>
      </c>
      <c r="V16" s="4">
        <v>1.0860000000000001</v>
      </c>
    </row>
    <row r="17" spans="1:22" x14ac:dyDescent="0.3">
      <c r="A17">
        <f>INDEX(Dane,1,17)</f>
        <v>1.1018520000000001</v>
      </c>
      <c r="C17" s="4">
        <v>0.91800000000000004</v>
      </c>
      <c r="D17" s="4">
        <v>1.095</v>
      </c>
      <c r="E17" s="4">
        <v>1.1120000000000001</v>
      </c>
      <c r="F17" s="4">
        <v>0.94899999999999995</v>
      </c>
      <c r="G17" s="4">
        <v>1.0569999999999999</v>
      </c>
      <c r="H17" s="4">
        <v>1.0920000000000001</v>
      </c>
      <c r="I17" s="4">
        <v>1.0529999999999999</v>
      </c>
      <c r="J17" s="4">
        <v>0.997</v>
      </c>
      <c r="K17" s="4">
        <v>0.84499999999999997</v>
      </c>
      <c r="L17" s="4">
        <v>0.85199999999999998</v>
      </c>
      <c r="M17" s="4">
        <v>0.89800000000000002</v>
      </c>
      <c r="N17" s="4">
        <v>0.99199999999999999</v>
      </c>
      <c r="O17" s="4">
        <v>1.05</v>
      </c>
      <c r="P17" s="4">
        <v>1.0740000000000001</v>
      </c>
      <c r="Q17" s="4">
        <v>1.046</v>
      </c>
      <c r="R17" s="4">
        <v>1.06</v>
      </c>
      <c r="S17" s="4">
        <v>1.022</v>
      </c>
      <c r="T17" s="4">
        <v>0.999</v>
      </c>
      <c r="U17" s="4">
        <v>1.022</v>
      </c>
      <c r="V17" s="4">
        <v>1.002</v>
      </c>
    </row>
    <row r="18" spans="1:22" x14ac:dyDescent="0.3">
      <c r="A18">
        <f>INDEX(Dane,1,18)</f>
        <v>1.167824</v>
      </c>
      <c r="C18" s="2">
        <v>0.99099999999999999</v>
      </c>
      <c r="D18" s="2">
        <v>0.97</v>
      </c>
      <c r="E18" s="2">
        <v>1.111</v>
      </c>
      <c r="F18" s="2">
        <v>1.0760000000000001</v>
      </c>
      <c r="G18" s="2">
        <v>1.0469999999999999</v>
      </c>
      <c r="H18" s="2">
        <v>0.86599999999999999</v>
      </c>
      <c r="I18" s="2">
        <v>1.0469999999999999</v>
      </c>
      <c r="J18" s="2">
        <v>0.98799999999999999</v>
      </c>
      <c r="K18" s="2">
        <v>0.94399999999999995</v>
      </c>
      <c r="L18" s="2">
        <v>0.998</v>
      </c>
      <c r="M18" s="2">
        <v>1.004</v>
      </c>
      <c r="N18" s="2">
        <v>1.016</v>
      </c>
      <c r="O18" s="2">
        <v>0.95399999999999996</v>
      </c>
      <c r="P18" s="2">
        <v>1.0229999999999999</v>
      </c>
      <c r="Q18" s="2">
        <v>1.113</v>
      </c>
      <c r="R18" s="2">
        <v>1.014</v>
      </c>
      <c r="S18" s="2">
        <v>1.0069999999999999</v>
      </c>
      <c r="T18" s="2">
        <v>0.92100000000000004</v>
      </c>
      <c r="U18" s="2">
        <v>1.004</v>
      </c>
      <c r="V18" s="2">
        <v>1.054</v>
      </c>
    </row>
    <row r="19" spans="1:22" x14ac:dyDescent="0.3">
      <c r="A19">
        <f>INDEX(Dane,1,19)</f>
        <v>1.1840280000000001</v>
      </c>
      <c r="C19" s="4">
        <v>1.038</v>
      </c>
      <c r="D19" s="2">
        <v>0.89400000000000002</v>
      </c>
      <c r="E19" s="2">
        <v>1.095</v>
      </c>
      <c r="F19" s="2">
        <v>0.91500000000000004</v>
      </c>
      <c r="G19" s="2">
        <v>0.92300000000000004</v>
      </c>
      <c r="H19" s="2">
        <v>0.88100000000000001</v>
      </c>
      <c r="I19" s="2">
        <v>1.1259999999999999</v>
      </c>
      <c r="J19" s="2">
        <v>1.004</v>
      </c>
      <c r="K19" s="2">
        <v>0.91900000000000004</v>
      </c>
      <c r="L19" s="2">
        <v>1.038</v>
      </c>
      <c r="M19" s="2">
        <v>1.0069999999999999</v>
      </c>
      <c r="N19" s="2">
        <v>0.89100000000000001</v>
      </c>
      <c r="O19" s="2">
        <v>1.0669999999999999</v>
      </c>
      <c r="P19" s="2">
        <v>1.0069999999999999</v>
      </c>
      <c r="Q19" s="2">
        <v>1.0760000000000001</v>
      </c>
      <c r="R19" s="2">
        <v>1.036</v>
      </c>
      <c r="S19" s="2">
        <v>1.0149999999999999</v>
      </c>
      <c r="T19" s="2">
        <v>0.95</v>
      </c>
      <c r="U19" s="2">
        <v>1.19</v>
      </c>
      <c r="V19" s="2">
        <v>0.84299999999999997</v>
      </c>
    </row>
    <row r="20" spans="1:22" x14ac:dyDescent="0.3">
      <c r="A20">
        <f>INDEX(Dane,1,20)</f>
        <v>0.91550900000000002</v>
      </c>
      <c r="C20" s="2">
        <v>1.0760000000000001</v>
      </c>
      <c r="D20" s="2">
        <v>0.95899999999999996</v>
      </c>
      <c r="E20" s="2">
        <v>1.0509999999999999</v>
      </c>
      <c r="F20" s="2">
        <v>1.0980000000000001</v>
      </c>
      <c r="G20" s="2">
        <v>0.92700000000000005</v>
      </c>
      <c r="H20" s="2">
        <v>0.73399999999999999</v>
      </c>
      <c r="I20" s="2">
        <v>1.0349999999999999</v>
      </c>
      <c r="J20" s="2">
        <v>0.747</v>
      </c>
      <c r="K20" s="2">
        <v>1.3240000000000001</v>
      </c>
      <c r="L20" s="2">
        <v>1.024</v>
      </c>
      <c r="M20" s="2">
        <v>1.0169999999999999</v>
      </c>
      <c r="N20" s="2">
        <v>1.028</v>
      </c>
      <c r="O20" s="2">
        <v>0.97899999999999998</v>
      </c>
      <c r="P20" s="2">
        <v>1.002</v>
      </c>
      <c r="Q20" s="2">
        <v>0.995</v>
      </c>
      <c r="R20" s="2">
        <v>1.01</v>
      </c>
      <c r="S20" s="2">
        <v>0.99299999999999999</v>
      </c>
      <c r="T20" s="2">
        <v>0.95499999999999996</v>
      </c>
      <c r="U20" s="2">
        <v>1.0129999999999999</v>
      </c>
      <c r="V20" s="2">
        <v>1.0529999999999999</v>
      </c>
    </row>
    <row r="21" spans="1:22" x14ac:dyDescent="0.3">
      <c r="A21">
        <f>INDEX(Dane,2,1)</f>
        <v>1.1220000000000001</v>
      </c>
    </row>
    <row r="22" spans="1:22" x14ac:dyDescent="0.3">
      <c r="A22">
        <f>INDEX(Dane,2,2)</f>
        <v>1</v>
      </c>
    </row>
    <row r="23" spans="1:22" x14ac:dyDescent="0.3">
      <c r="A23">
        <f>INDEX(Dane,2,3)</f>
        <v>0.91400000000000003</v>
      </c>
    </row>
    <row r="24" spans="1:22" x14ac:dyDescent="0.3">
      <c r="A24">
        <f>INDEX(Dane,2,4)</f>
        <v>1.008</v>
      </c>
    </row>
    <row r="25" spans="1:22" x14ac:dyDescent="0.3">
      <c r="A25">
        <f>INDEX(Dane,2,5)</f>
        <v>1.03</v>
      </c>
    </row>
    <row r="26" spans="1:22" x14ac:dyDescent="0.3">
      <c r="A26">
        <f>INDEX(Dane,2,6)</f>
        <v>1.03</v>
      </c>
    </row>
    <row r="27" spans="1:22" x14ac:dyDescent="0.3">
      <c r="A27">
        <f>INDEX(Dane,2,7)</f>
        <v>0.90600000000000003</v>
      </c>
    </row>
    <row r="28" spans="1:22" x14ac:dyDescent="0.3">
      <c r="A28">
        <f>INDEX(Dane,2,8)</f>
        <v>0.96799999999999997</v>
      </c>
    </row>
    <row r="29" spans="1:22" x14ac:dyDescent="0.3">
      <c r="A29">
        <f>INDEX(Dane,2,9)</f>
        <v>1.024</v>
      </c>
    </row>
    <row r="30" spans="1:22" x14ac:dyDescent="0.3">
      <c r="A30">
        <f>INDEX(Dane,2,10)</f>
        <v>0.998</v>
      </c>
    </row>
    <row r="31" spans="1:22" x14ac:dyDescent="0.3">
      <c r="A31">
        <f>INDEX(Dane,2,11)</f>
        <v>1.1839999999999999</v>
      </c>
    </row>
    <row r="32" spans="1:22" x14ac:dyDescent="0.3">
      <c r="A32">
        <f>INDEX(Dane,2,12)</f>
        <v>1.0609999999999999</v>
      </c>
    </row>
    <row r="33" spans="1:11" x14ac:dyDescent="0.3">
      <c r="A33">
        <f>INDEX(Dane,2,13)</f>
        <v>0.94499999999999995</v>
      </c>
    </row>
    <row r="34" spans="1:11" x14ac:dyDescent="0.3">
      <c r="A34">
        <f>INDEX(Dane,2,14)</f>
        <v>0.998</v>
      </c>
    </row>
    <row r="35" spans="1:11" x14ac:dyDescent="0.3">
      <c r="A35">
        <f>INDEX(Dane,2,15)</f>
        <v>1.038</v>
      </c>
    </row>
    <row r="36" spans="1:11" x14ac:dyDescent="0.3">
      <c r="A36">
        <f>INDEX(Dane,2,16)</f>
        <v>1.03</v>
      </c>
      <c r="C36" s="6" t="s">
        <v>8</v>
      </c>
      <c r="D36" s="5" t="s">
        <v>0</v>
      </c>
      <c r="E36" s="6" t="s">
        <v>1</v>
      </c>
      <c r="F36" s="6" t="s">
        <v>5</v>
      </c>
      <c r="G36" s="6" t="s">
        <v>6</v>
      </c>
      <c r="H36" s="6" t="s">
        <v>2</v>
      </c>
      <c r="I36" s="6" t="s">
        <v>3</v>
      </c>
      <c r="J36" s="6" t="s">
        <v>7</v>
      </c>
      <c r="K36" s="6" t="s">
        <v>4</v>
      </c>
    </row>
    <row r="37" spans="1:11" ht="43.2" x14ac:dyDescent="0.3">
      <c r="A37">
        <f>INDEX(Dane,2,17)</f>
        <v>0.97599999999999998</v>
      </c>
      <c r="C37" s="9" t="s">
        <v>9</v>
      </c>
      <c r="D37" s="7">
        <f>COUNTIFS(C1:V20,"&gt;0,8",C1:V20,"&lt;=0,85")</f>
        <v>7</v>
      </c>
      <c r="E37" s="7">
        <f>COUNTIFS(C1:V20,"&gt;0,85",C1:V20,"&lt;=0,9")</f>
        <v>22</v>
      </c>
      <c r="F37" s="7">
        <f>COUNTIFS(C1:V20,"&gt;0,9",C1:V20,"&lt;=0,95")</f>
        <v>59</v>
      </c>
      <c r="G37" s="7">
        <f>COUNTIFS(C1:V20,"&gt;0,95",C1:V20,"&lt;=1,00")</f>
        <v>91</v>
      </c>
      <c r="H37" s="7">
        <f>COUNTIFS(C1:V20,"&gt;1,00",C1:V20,"&lt;=1,05")</f>
        <v>103</v>
      </c>
      <c r="I37" s="7">
        <f>COUNTIFS(C1:V20,"&gt;1,05",C1:V20,"&lt;=1,10")</f>
        <v>57</v>
      </c>
      <c r="J37" s="7">
        <f>COUNTIFS(C1:V20,"&gt;1,1",C1:V20,"&lt;=1,15")</f>
        <v>33</v>
      </c>
      <c r="K37" s="7">
        <f>COUNTIFS(C1:V20,"&gt;1,15",C1:V20,"&lt;=1,20")</f>
        <v>17</v>
      </c>
    </row>
    <row r="38" spans="1:11" ht="43.2" x14ac:dyDescent="0.3">
      <c r="A38">
        <f>INDEX(Dane,2,18)</f>
        <v>0.96799999999999997</v>
      </c>
      <c r="C38" s="9" t="s">
        <v>10</v>
      </c>
      <c r="D38" s="8">
        <f t="shared" ref="D38:K38" si="0">D37/SUM($D$37:$K$37)</f>
        <v>1.7994858611825194E-2</v>
      </c>
      <c r="E38" s="8">
        <f t="shared" si="0"/>
        <v>5.6555269922879174E-2</v>
      </c>
      <c r="F38" s="8">
        <f t="shared" si="0"/>
        <v>0.15167095115681234</v>
      </c>
      <c r="G38" s="8">
        <f t="shared" si="0"/>
        <v>0.23393316195372751</v>
      </c>
      <c r="H38" s="8">
        <f t="shared" si="0"/>
        <v>0.2647814910025707</v>
      </c>
      <c r="I38" s="8">
        <f t="shared" si="0"/>
        <v>0.14652956298200515</v>
      </c>
      <c r="J38" s="8">
        <f t="shared" si="0"/>
        <v>8.4832904884318772E-2</v>
      </c>
      <c r="K38" s="8">
        <f t="shared" si="0"/>
        <v>4.3701799485861184E-2</v>
      </c>
    </row>
    <row r="39" spans="1:11" ht="28.8" x14ac:dyDescent="0.3">
      <c r="A39">
        <f>INDEX(Dane,2,19)</f>
        <v>0.96</v>
      </c>
      <c r="C39" s="9" t="s">
        <v>12</v>
      </c>
      <c r="D39" s="10">
        <f>0.05</f>
        <v>0.05</v>
      </c>
      <c r="E39" s="10">
        <f t="shared" ref="E39:G39" si="1">0.05</f>
        <v>0.05</v>
      </c>
      <c r="F39" s="10">
        <f t="shared" si="1"/>
        <v>0.05</v>
      </c>
      <c r="G39" s="10">
        <f t="shared" si="1"/>
        <v>0.05</v>
      </c>
      <c r="H39" s="10">
        <f>0.05</f>
        <v>0.05</v>
      </c>
      <c r="I39" s="10">
        <f t="shared" ref="I39:K39" si="2">0.05</f>
        <v>0.05</v>
      </c>
      <c r="J39" s="10">
        <f t="shared" si="2"/>
        <v>0.05</v>
      </c>
      <c r="K39" s="10">
        <f t="shared" si="2"/>
        <v>0.05</v>
      </c>
    </row>
    <row r="40" spans="1:11" x14ac:dyDescent="0.3">
      <c r="A40">
        <f>INDEX(Dane,2,20)</f>
        <v>1.03</v>
      </c>
      <c r="C40" s="11" t="s">
        <v>11</v>
      </c>
      <c r="D40" s="10">
        <f>D38/D39</f>
        <v>0.35989717223650386</v>
      </c>
      <c r="E40" s="10">
        <f t="shared" ref="E40" si="3">E38/E39</f>
        <v>1.1311053984575834</v>
      </c>
      <c r="F40" s="10">
        <f t="shared" ref="F40" si="4">F38/F39</f>
        <v>3.0334190231362466</v>
      </c>
      <c r="G40" s="10">
        <f t="shared" ref="G40" si="5">G38/G39</f>
        <v>4.6786632390745497</v>
      </c>
      <c r="H40" s="10">
        <f>H38/H39</f>
        <v>5.2956298200514134</v>
      </c>
      <c r="I40" s="10">
        <f t="shared" ref="I40:K40" si="6">I38/I39</f>
        <v>2.9305912596401029</v>
      </c>
      <c r="J40" s="10">
        <f t="shared" si="6"/>
        <v>1.6966580976863754</v>
      </c>
      <c r="K40" s="10">
        <f t="shared" si="6"/>
        <v>0.87403598971722363</v>
      </c>
    </row>
    <row r="41" spans="1:11" x14ac:dyDescent="0.3">
      <c r="A41">
        <f>INDEX(Dane,3,1)</f>
        <v>1.3180000000000001</v>
      </c>
    </row>
    <row r="42" spans="1:11" x14ac:dyDescent="0.3">
      <c r="A42">
        <f>INDEX(Dane,3,2)</f>
        <v>0.753</v>
      </c>
    </row>
    <row r="43" spans="1:11" x14ac:dyDescent="0.3">
      <c r="A43">
        <f>INDEX(Dane,3,3)</f>
        <v>1.0029999999999999</v>
      </c>
    </row>
    <row r="44" spans="1:11" x14ac:dyDescent="0.3">
      <c r="A44">
        <f>INDEX(Dane,3,4)</f>
        <v>1.109</v>
      </c>
    </row>
    <row r="45" spans="1:11" x14ac:dyDescent="0.3">
      <c r="A45">
        <f>INDEX(Dane,3,5)</f>
        <v>1.1120000000000001</v>
      </c>
    </row>
    <row r="46" spans="1:11" x14ac:dyDescent="0.3">
      <c r="A46">
        <f>INDEX(Dane,3,6)</f>
        <v>1.0029999999999999</v>
      </c>
    </row>
    <row r="47" spans="1:11" x14ac:dyDescent="0.3">
      <c r="A47">
        <f>INDEX(Dane,3,7)</f>
        <v>0.97199999999999998</v>
      </c>
    </row>
    <row r="48" spans="1:11" x14ac:dyDescent="0.3">
      <c r="A48">
        <f>INDEX(Dane,3,8)</f>
        <v>0.89500000000000002</v>
      </c>
    </row>
    <row r="49" spans="1:1" x14ac:dyDescent="0.3">
      <c r="A49">
        <f>INDEX(Dane,3,9)</f>
        <v>0.84599999999999997</v>
      </c>
    </row>
    <row r="50" spans="1:1" x14ac:dyDescent="0.3">
      <c r="A50">
        <f>INDEX(Dane,3,10)</f>
        <v>0.99199999999999999</v>
      </c>
    </row>
    <row r="51" spans="1:1" x14ac:dyDescent="0.3">
      <c r="A51">
        <f>INDEX(Dane,3,11)</f>
        <v>1.0309999999999999</v>
      </c>
    </row>
    <row r="52" spans="1:1" x14ac:dyDescent="0.3">
      <c r="A52">
        <f>INDEX(Dane,3,12)</f>
        <v>0.996</v>
      </c>
    </row>
    <row r="53" spans="1:1" x14ac:dyDescent="0.3">
      <c r="A53">
        <f>INDEX(Dane,3,13)</f>
        <v>1.1279999999999999</v>
      </c>
    </row>
    <row r="54" spans="1:1" x14ac:dyDescent="0.3">
      <c r="A54">
        <f>INDEX(Dane,3,14)</f>
        <v>0.98799999999999999</v>
      </c>
    </row>
    <row r="55" spans="1:1" x14ac:dyDescent="0.3">
      <c r="A55">
        <f>INDEX(Dane,3,15)</f>
        <v>0.877</v>
      </c>
    </row>
    <row r="56" spans="1:1" x14ac:dyDescent="0.3">
      <c r="A56">
        <f>INDEX(Dane,3,16)</f>
        <v>0.97299999999999998</v>
      </c>
    </row>
    <row r="57" spans="1:1" x14ac:dyDescent="0.3">
      <c r="A57">
        <f>INDEX(Dane,3,17)</f>
        <v>1.08</v>
      </c>
    </row>
    <row r="58" spans="1:1" x14ac:dyDescent="0.3">
      <c r="A58">
        <f>INDEX(Dane,3,18)</f>
        <v>1.0029999999999999</v>
      </c>
    </row>
    <row r="59" spans="1:1" x14ac:dyDescent="0.3">
      <c r="A59">
        <f>INDEX(Dane,3,19)</f>
        <v>0.91</v>
      </c>
    </row>
    <row r="60" spans="1:1" x14ac:dyDescent="0.3">
      <c r="A60">
        <f>INDEX(Dane,3,20)</f>
        <v>1.0609999999999999</v>
      </c>
    </row>
    <row r="61" spans="1:1" x14ac:dyDescent="0.3">
      <c r="A61">
        <f>INDEX(Dane,4,1)</f>
        <v>0.91200000000000003</v>
      </c>
    </row>
    <row r="62" spans="1:1" x14ac:dyDescent="0.3">
      <c r="A62">
        <f>INDEX(Dane,4,2)</f>
        <v>1.1200000000000001</v>
      </c>
    </row>
    <row r="63" spans="1:1" x14ac:dyDescent="0.3">
      <c r="A63">
        <f>INDEX(Dane,4,3)</f>
        <v>0.94</v>
      </c>
    </row>
    <row r="64" spans="1:1" x14ac:dyDescent="0.3">
      <c r="A64">
        <f>INDEX(Dane,4,4)</f>
        <v>0.96</v>
      </c>
    </row>
    <row r="65" spans="1:1" x14ac:dyDescent="0.3">
      <c r="A65">
        <f>INDEX(Dane,4,5)</f>
        <v>1.024</v>
      </c>
    </row>
    <row r="66" spans="1:1" x14ac:dyDescent="0.3">
      <c r="A66">
        <f>INDEX(Dane,4,6)</f>
        <v>1.099</v>
      </c>
    </row>
    <row r="67" spans="1:1" x14ac:dyDescent="0.3">
      <c r="A67">
        <f>INDEX(Dane,4,7)</f>
        <v>0.92900000000000005</v>
      </c>
    </row>
    <row r="68" spans="1:1" x14ac:dyDescent="0.3">
      <c r="A68">
        <f>INDEX(Dane,4,8)</f>
        <v>0.96299999999999997</v>
      </c>
    </row>
    <row r="69" spans="1:1" x14ac:dyDescent="0.3">
      <c r="A69">
        <f>INDEX(Dane,4,9)</f>
        <v>0.99099999999999999</v>
      </c>
    </row>
    <row r="70" spans="1:1" x14ac:dyDescent="0.3">
      <c r="A70">
        <f>INDEX(Dane,4,10)</f>
        <v>0.94399999999999995</v>
      </c>
    </row>
    <row r="71" spans="1:1" x14ac:dyDescent="0.3">
      <c r="A71">
        <f>INDEX(Dane,4,11)</f>
        <v>0.88700000000000001</v>
      </c>
    </row>
    <row r="72" spans="1:1" x14ac:dyDescent="0.3">
      <c r="A72">
        <f>INDEX(Dane,4,12)</f>
        <v>0.89600000000000002</v>
      </c>
    </row>
    <row r="73" spans="1:1" x14ac:dyDescent="0.3">
      <c r="A73">
        <f>INDEX(Dane,4,13)</f>
        <v>1.1279999999999999</v>
      </c>
    </row>
    <row r="74" spans="1:1" x14ac:dyDescent="0.3">
      <c r="A74">
        <f>INDEX(Dane,4,14)</f>
        <v>1.0489999999999999</v>
      </c>
    </row>
    <row r="75" spans="1:1" x14ac:dyDescent="0.3">
      <c r="A75">
        <f>INDEX(Dane,4,15)</f>
        <v>1.095</v>
      </c>
    </row>
    <row r="76" spans="1:1" x14ac:dyDescent="0.3">
      <c r="A76">
        <f>INDEX(Dane,4,16)</f>
        <v>1.1040000000000001</v>
      </c>
    </row>
    <row r="77" spans="1:1" x14ac:dyDescent="0.3">
      <c r="A77">
        <f>INDEX(Dane,4,17)</f>
        <v>0.96</v>
      </c>
    </row>
    <row r="78" spans="1:1" x14ac:dyDescent="0.3">
      <c r="A78">
        <f>INDEX(Dane,4,18)</f>
        <v>1.04</v>
      </c>
    </row>
    <row r="79" spans="1:1" x14ac:dyDescent="0.3">
      <c r="A79">
        <f>INDEX(Dane,4,19)</f>
        <v>1.0029999999999999</v>
      </c>
    </row>
    <row r="80" spans="1:1" x14ac:dyDescent="0.3">
      <c r="A80">
        <f>INDEX(Dane,4,20)</f>
        <v>1.0629999999999999</v>
      </c>
    </row>
    <row r="81" spans="1:1" x14ac:dyDescent="0.3">
      <c r="A81">
        <f>INDEX(Dane,5,1)</f>
        <v>1.018</v>
      </c>
    </row>
    <row r="82" spans="1:1" x14ac:dyDescent="0.3">
      <c r="A82">
        <f>INDEX(Dane,5,2)</f>
        <v>0.97499999999999998</v>
      </c>
    </row>
    <row r="83" spans="1:1" x14ac:dyDescent="0.3">
      <c r="A83">
        <f>INDEX(Dane,5,3)</f>
        <v>0.95899999999999996</v>
      </c>
    </row>
    <row r="84" spans="1:1" x14ac:dyDescent="0.3">
      <c r="A84">
        <f>INDEX(Dane,5,4)</f>
        <v>1.0660000000000001</v>
      </c>
    </row>
    <row r="85" spans="1:1" x14ac:dyDescent="0.3">
      <c r="A85">
        <f>INDEX(Dane,5,5)</f>
        <v>1.008</v>
      </c>
    </row>
    <row r="86" spans="1:1" x14ac:dyDescent="0.3">
      <c r="A86">
        <f>INDEX(Dane,5,6)</f>
        <v>0.90200000000000002</v>
      </c>
    </row>
    <row r="87" spans="1:1" x14ac:dyDescent="0.3">
      <c r="A87">
        <f>INDEX(Dane,5,7)</f>
        <v>0.88600000000000001</v>
      </c>
    </row>
    <row r="88" spans="1:1" x14ac:dyDescent="0.3">
      <c r="A88">
        <f>INDEX(Dane,5,8)</f>
        <v>0.91200000000000003</v>
      </c>
    </row>
    <row r="89" spans="1:1" x14ac:dyDescent="0.3">
      <c r="A89">
        <f>INDEX(Dane,5,9)</f>
        <v>1.054</v>
      </c>
    </row>
    <row r="90" spans="1:1" x14ac:dyDescent="0.3">
      <c r="A90">
        <f>INDEX(Dane,5,10)</f>
        <v>1.0640000000000001</v>
      </c>
    </row>
    <row r="91" spans="1:1" x14ac:dyDescent="0.3">
      <c r="A91">
        <f>INDEX(Dane,5,11)</f>
        <v>0.93200000000000005</v>
      </c>
    </row>
    <row r="92" spans="1:1" x14ac:dyDescent="0.3">
      <c r="A92">
        <f>INDEX(Dane,5,12)</f>
        <v>0.93400000000000005</v>
      </c>
    </row>
    <row r="93" spans="1:1" x14ac:dyDescent="0.3">
      <c r="A93">
        <f>INDEX(Dane,5,13)</f>
        <v>0.97599999999999998</v>
      </c>
    </row>
    <row r="94" spans="1:1" x14ac:dyDescent="0.3">
      <c r="A94">
        <f>INDEX(Dane,5,14)</f>
        <v>1.1399999999999999</v>
      </c>
    </row>
    <row r="95" spans="1:1" x14ac:dyDescent="0.3">
      <c r="A95">
        <f>INDEX(Dane,5,15)</f>
        <v>1.002</v>
      </c>
    </row>
    <row r="96" spans="1:1" x14ac:dyDescent="0.3">
      <c r="A96">
        <f>INDEX(Dane,5,16)</f>
        <v>1.024</v>
      </c>
    </row>
    <row r="97" spans="1:1" x14ac:dyDescent="0.3">
      <c r="A97">
        <f>INDEX(Dane,5,17)</f>
        <v>0.96399999999999997</v>
      </c>
    </row>
    <row r="98" spans="1:1" x14ac:dyDescent="0.3">
      <c r="A98">
        <f>INDEX(Dane,5,18)</f>
        <v>0.91800000000000004</v>
      </c>
    </row>
    <row r="99" spans="1:1" x14ac:dyDescent="0.3">
      <c r="A99">
        <f>INDEX(Dane,5,19)</f>
        <v>0.98799999999999999</v>
      </c>
    </row>
    <row r="100" spans="1:1" x14ac:dyDescent="0.3">
      <c r="A100">
        <f>INDEX(Dane,5,20)</f>
        <v>0.95799999999999996</v>
      </c>
    </row>
    <row r="101" spans="1:1" x14ac:dyDescent="0.3">
      <c r="A101">
        <f>INDEX(Dane,6,1)</f>
        <v>0.97299999999999998</v>
      </c>
    </row>
    <row r="102" spans="1:1" x14ac:dyDescent="0.3">
      <c r="A102">
        <f>INDEX(Dane,6,2)</f>
        <v>0.88</v>
      </c>
    </row>
    <row r="103" spans="1:1" x14ac:dyDescent="0.3">
      <c r="A103">
        <f>INDEX(Dane,6,3)</f>
        <v>0.93200000000000005</v>
      </c>
    </row>
    <row r="104" spans="1:1" x14ac:dyDescent="0.3">
      <c r="A104">
        <f>INDEX(Dane,6,4)</f>
        <v>1.004</v>
      </c>
    </row>
    <row r="105" spans="1:1" x14ac:dyDescent="0.3">
      <c r="A105">
        <f>INDEX(Dane,6,5)</f>
        <v>0.80900000000000005</v>
      </c>
    </row>
    <row r="106" spans="1:1" x14ac:dyDescent="0.3">
      <c r="A106">
        <f>INDEX(Dane,6,6)</f>
        <v>1.0329999999999999</v>
      </c>
    </row>
    <row r="107" spans="1:1" x14ac:dyDescent="0.3">
      <c r="A107">
        <f>INDEX(Dane,6,7)</f>
        <v>0.90800000000000003</v>
      </c>
    </row>
    <row r="108" spans="1:1" x14ac:dyDescent="0.3">
      <c r="A108">
        <f>INDEX(Dane,6,8)</f>
        <v>1.0940000000000001</v>
      </c>
    </row>
    <row r="109" spans="1:1" x14ac:dyDescent="0.3">
      <c r="A109">
        <f>INDEX(Dane,6,9)</f>
        <v>1.002</v>
      </c>
    </row>
    <row r="110" spans="1:1" x14ac:dyDescent="0.3">
      <c r="A110">
        <f>INDEX(Dane,6,10)</f>
        <v>1.1259999999999999</v>
      </c>
    </row>
    <row r="111" spans="1:1" x14ac:dyDescent="0.3">
      <c r="A111">
        <f>INDEX(Dane,6,11)</f>
        <v>1.149</v>
      </c>
    </row>
    <row r="112" spans="1:1" x14ac:dyDescent="0.3">
      <c r="A112">
        <f>INDEX(Dane,6,12)</f>
        <v>1.0109999999999999</v>
      </c>
    </row>
    <row r="113" spans="1:1" x14ac:dyDescent="0.3">
      <c r="A113">
        <f>INDEX(Dane,6,13)</f>
        <v>0.95699999999999996</v>
      </c>
    </row>
    <row r="114" spans="1:1" x14ac:dyDescent="0.3">
      <c r="A114">
        <f>INDEX(Dane,6,14)</f>
        <v>1.018</v>
      </c>
    </row>
    <row r="115" spans="1:1" x14ac:dyDescent="0.3">
      <c r="A115">
        <f>INDEX(Dane,6,15)</f>
        <v>1.024</v>
      </c>
    </row>
    <row r="116" spans="1:1" x14ac:dyDescent="0.3">
      <c r="A116">
        <f>INDEX(Dane,6,16)</f>
        <v>1.0329999999999999</v>
      </c>
    </row>
    <row r="117" spans="1:1" x14ac:dyDescent="0.3">
      <c r="A117">
        <f>INDEX(Dane,6,17)</f>
        <v>0.99399999999999999</v>
      </c>
    </row>
    <row r="118" spans="1:1" x14ac:dyDescent="0.3">
      <c r="A118">
        <f>INDEX(Dane,6,18)</f>
        <v>1.105</v>
      </c>
    </row>
    <row r="119" spans="1:1" x14ac:dyDescent="0.3">
      <c r="A119">
        <f>INDEX(Dane,6,19)</f>
        <v>1.0640000000000001</v>
      </c>
    </row>
    <row r="120" spans="1:1" x14ac:dyDescent="0.3">
      <c r="A120">
        <f>INDEX(Dane,6,20)</f>
        <v>0.92400000000000004</v>
      </c>
    </row>
    <row r="121" spans="1:1" x14ac:dyDescent="0.3">
      <c r="A121">
        <f>INDEX(Dane,7,1)</f>
        <v>1.0820000000000001</v>
      </c>
    </row>
    <row r="122" spans="1:1" x14ac:dyDescent="0.3">
      <c r="A122">
        <f>INDEX(Dane,7,2)</f>
        <v>0.93700000000000006</v>
      </c>
    </row>
    <row r="123" spans="1:1" x14ac:dyDescent="0.3">
      <c r="A123">
        <f>INDEX(Dane,7,3)</f>
        <v>1.1000000000000001</v>
      </c>
    </row>
    <row r="124" spans="1:1" x14ac:dyDescent="0.3">
      <c r="A124">
        <f>INDEX(Dane,7,4)</f>
        <v>0.999</v>
      </c>
    </row>
    <row r="125" spans="1:1" x14ac:dyDescent="0.3">
      <c r="A125">
        <f>INDEX(Dane,7,5)</f>
        <v>0.97399999999999998</v>
      </c>
    </row>
    <row r="126" spans="1:1" x14ac:dyDescent="0.3">
      <c r="A126">
        <f>INDEX(Dane,7,6)</f>
        <v>0.81399999999999995</v>
      </c>
    </row>
    <row r="127" spans="1:1" x14ac:dyDescent="0.3">
      <c r="A127">
        <f>INDEX(Dane,7,7)</f>
        <v>0.90200000000000002</v>
      </c>
    </row>
    <row r="128" spans="1:1" x14ac:dyDescent="0.3">
      <c r="A128">
        <f>INDEX(Dane,7,8)</f>
        <v>1.0609999999999999</v>
      </c>
    </row>
    <row r="129" spans="1:1" x14ac:dyDescent="0.3">
      <c r="A129">
        <f>INDEX(Dane,7,9)</f>
        <v>1.0640000000000001</v>
      </c>
    </row>
    <row r="130" spans="1:1" x14ac:dyDescent="0.3">
      <c r="A130">
        <f>INDEX(Dane,7,10)</f>
        <v>0.94299999999999995</v>
      </c>
    </row>
    <row r="131" spans="1:1" x14ac:dyDescent="0.3">
      <c r="A131">
        <f>INDEX(Dane,7,11)</f>
        <v>1.0640000000000001</v>
      </c>
    </row>
    <row r="132" spans="1:1" x14ac:dyDescent="0.3">
      <c r="A132">
        <f>INDEX(Dane,7,12)</f>
        <v>1.036</v>
      </c>
    </row>
    <row r="133" spans="1:1" x14ac:dyDescent="0.3">
      <c r="A133">
        <f>INDEX(Dane,7,13)</f>
        <v>1.18</v>
      </c>
    </row>
    <row r="134" spans="1:1" x14ac:dyDescent="0.3">
      <c r="A134">
        <f>INDEX(Dane,7,14)</f>
        <v>0.877</v>
      </c>
    </row>
    <row r="135" spans="1:1" x14ac:dyDescent="0.3">
      <c r="A135">
        <f>INDEX(Dane,7,15)</f>
        <v>1.141</v>
      </c>
    </row>
    <row r="136" spans="1:1" x14ac:dyDescent="0.3">
      <c r="A136">
        <f>INDEX(Dane,7,16)</f>
        <v>1.08</v>
      </c>
    </row>
    <row r="137" spans="1:1" x14ac:dyDescent="0.3">
      <c r="A137">
        <f>INDEX(Dane,7,17)</f>
        <v>1.171</v>
      </c>
    </row>
    <row r="138" spans="1:1" x14ac:dyDescent="0.3">
      <c r="A138">
        <f>INDEX(Dane,7,18)</f>
        <v>1.077</v>
      </c>
    </row>
    <row r="139" spans="1:1" x14ac:dyDescent="0.3">
      <c r="A139">
        <f>INDEX(Dane,7,19)</f>
        <v>1.0469999999999999</v>
      </c>
    </row>
    <row r="140" spans="1:1" x14ac:dyDescent="0.3">
      <c r="A140">
        <f>INDEX(Dane,7,20)</f>
        <v>0.96899999999999997</v>
      </c>
    </row>
    <row r="141" spans="1:1" x14ac:dyDescent="0.3">
      <c r="A141">
        <f>INDEX(Dane,8,1)</f>
        <v>1.198</v>
      </c>
    </row>
    <row r="142" spans="1:1" x14ac:dyDescent="0.3">
      <c r="A142">
        <f>INDEX(Dane,8,2)</f>
        <v>1.0149999999999999</v>
      </c>
    </row>
    <row r="143" spans="1:1" x14ac:dyDescent="0.3">
      <c r="A143">
        <f>INDEX(Dane,8,3)</f>
        <v>0.95099999999999996</v>
      </c>
    </row>
    <row r="144" spans="1:1" x14ac:dyDescent="0.3">
      <c r="A144">
        <f>INDEX(Dane,8,4)</f>
        <v>1.014</v>
      </c>
    </row>
    <row r="145" spans="1:1" x14ac:dyDescent="0.3">
      <c r="A145">
        <f>INDEX(Dane,8,5)</f>
        <v>0.97199999999999998</v>
      </c>
    </row>
    <row r="146" spans="1:1" x14ac:dyDescent="0.3">
      <c r="A146">
        <f>INDEX(Dane,8,6)</f>
        <v>1.008</v>
      </c>
    </row>
    <row r="147" spans="1:1" x14ac:dyDescent="0.3">
      <c r="A147">
        <f>INDEX(Dane,8,7)</f>
        <v>1.0369999999999999</v>
      </c>
    </row>
    <row r="148" spans="1:1" x14ac:dyDescent="0.3">
      <c r="A148">
        <f>INDEX(Dane,8,8)</f>
        <v>1.0580000000000001</v>
      </c>
    </row>
    <row r="149" spans="1:1" x14ac:dyDescent="0.3">
      <c r="A149">
        <f>INDEX(Dane,8,9)</f>
        <v>0.99399999999999999</v>
      </c>
    </row>
    <row r="150" spans="1:1" x14ac:dyDescent="0.3">
      <c r="A150">
        <f>INDEX(Dane,8,10)</f>
        <v>0.93700000000000006</v>
      </c>
    </row>
    <row r="151" spans="1:1" x14ac:dyDescent="0.3">
      <c r="A151">
        <f>INDEX(Dane,8,11)</f>
        <v>1.05</v>
      </c>
    </row>
    <row r="152" spans="1:1" x14ac:dyDescent="0.3">
      <c r="A152">
        <f>INDEX(Dane,8,12)</f>
        <v>0.93</v>
      </c>
    </row>
    <row r="153" spans="1:1" x14ac:dyDescent="0.3">
      <c r="A153">
        <f>INDEX(Dane,8,13)</f>
        <v>0.85299999999999998</v>
      </c>
    </row>
    <row r="154" spans="1:1" x14ac:dyDescent="0.3">
      <c r="A154">
        <f>INDEX(Dane,8,14)</f>
        <v>0.92300000000000004</v>
      </c>
    </row>
    <row r="155" spans="1:1" x14ac:dyDescent="0.3">
      <c r="A155">
        <f>INDEX(Dane,8,15)</f>
        <v>1.0629999999999999</v>
      </c>
    </row>
    <row r="156" spans="1:1" x14ac:dyDescent="0.3">
      <c r="A156">
        <f>INDEX(Dane,8,16)</f>
        <v>1.038</v>
      </c>
    </row>
    <row r="157" spans="1:1" x14ac:dyDescent="0.3">
      <c r="A157">
        <f>INDEX(Dane,8,17)</f>
        <v>0.97199999999999998</v>
      </c>
    </row>
    <row r="158" spans="1:1" x14ac:dyDescent="0.3">
      <c r="A158">
        <f>INDEX(Dane,8,18)</f>
        <v>1.1499999999999999</v>
      </c>
    </row>
    <row r="159" spans="1:1" x14ac:dyDescent="0.3">
      <c r="A159">
        <f>INDEX(Dane,8,19)</f>
        <v>1.0349999999999999</v>
      </c>
    </row>
    <row r="160" spans="1:1" x14ac:dyDescent="0.3">
      <c r="A160">
        <f>INDEX(Dane,8,20)</f>
        <v>0.94599999999999995</v>
      </c>
    </row>
    <row r="161" spans="1:1" x14ac:dyDescent="0.3">
      <c r="A161">
        <f>INDEX(Dane,9,1)</f>
        <v>1.1200000000000001</v>
      </c>
    </row>
    <row r="162" spans="1:1" x14ac:dyDescent="0.3">
      <c r="A162">
        <f>INDEX(Dane,9,2)</f>
        <v>1.016</v>
      </c>
    </row>
    <row r="163" spans="1:1" x14ac:dyDescent="0.3">
      <c r="A163">
        <f>INDEX(Dane,9,3)</f>
        <v>0.92</v>
      </c>
    </row>
    <row r="164" spans="1:1" x14ac:dyDescent="0.3">
      <c r="A164">
        <f>INDEX(Dane,9,4)</f>
        <v>0.98399999999999999</v>
      </c>
    </row>
    <row r="165" spans="1:1" x14ac:dyDescent="0.3">
      <c r="A165">
        <f>INDEX(Dane,9,5)</f>
        <v>1.04</v>
      </c>
    </row>
    <row r="166" spans="1:1" x14ac:dyDescent="0.3">
      <c r="A166">
        <f>INDEX(Dane,9,6)</f>
        <v>1.008</v>
      </c>
    </row>
    <row r="167" spans="1:1" x14ac:dyDescent="0.3">
      <c r="A167">
        <f>INDEX(Dane,9,7)</f>
        <v>1.0720000000000001</v>
      </c>
    </row>
    <row r="168" spans="1:1" x14ac:dyDescent="0.3">
      <c r="A168">
        <f>INDEX(Dane,9,8)</f>
        <v>0.98399999999999999</v>
      </c>
    </row>
    <row r="169" spans="1:1" x14ac:dyDescent="0.3">
      <c r="A169">
        <f>INDEX(Dane,9,9)</f>
        <v>1.048</v>
      </c>
    </row>
    <row r="170" spans="1:1" x14ac:dyDescent="0.3">
      <c r="A170">
        <f>INDEX(Dane,9,10)</f>
        <v>1.1200000000000001</v>
      </c>
    </row>
    <row r="171" spans="1:1" x14ac:dyDescent="0.3">
      <c r="A171">
        <f>INDEX(Dane,9,11)</f>
        <v>0.92</v>
      </c>
    </row>
    <row r="172" spans="1:1" x14ac:dyDescent="0.3">
      <c r="A172">
        <f>INDEX(Dane,9,12)</f>
        <v>1.04</v>
      </c>
    </row>
    <row r="173" spans="1:1" x14ac:dyDescent="0.3">
      <c r="A173">
        <f>INDEX(Dane,9,13)</f>
        <v>1.0960000000000001</v>
      </c>
    </row>
    <row r="174" spans="1:1" x14ac:dyDescent="0.3">
      <c r="A174">
        <f>INDEX(Dane,9,14)</f>
        <v>0.92800000000000005</v>
      </c>
    </row>
    <row r="175" spans="1:1" x14ac:dyDescent="0.3">
      <c r="A175">
        <f>INDEX(Dane,9,15)</f>
        <v>0.94399999999999995</v>
      </c>
    </row>
    <row r="176" spans="1:1" x14ac:dyDescent="0.3">
      <c r="A176">
        <f>INDEX(Dane,9,16)</f>
        <v>1.0389999999999999</v>
      </c>
    </row>
    <row r="177" spans="1:1" x14ac:dyDescent="0.3">
      <c r="A177">
        <f>INDEX(Dane,9,17)</f>
        <v>1.048</v>
      </c>
    </row>
    <row r="178" spans="1:1" x14ac:dyDescent="0.3">
      <c r="A178">
        <f>INDEX(Dane,9,18)</f>
        <v>1.056</v>
      </c>
    </row>
    <row r="179" spans="1:1" x14ac:dyDescent="0.3">
      <c r="A179">
        <f>INDEX(Dane,9,19)</f>
        <v>0.95199999999999996</v>
      </c>
    </row>
    <row r="180" spans="1:1" x14ac:dyDescent="0.3">
      <c r="A180">
        <f>INDEX(Dane,9,20)</f>
        <v>0.93300000000000005</v>
      </c>
    </row>
    <row r="181" spans="1:1" x14ac:dyDescent="0.3">
      <c r="A181">
        <f>INDEX(Dane,10,1)</f>
        <v>1.03</v>
      </c>
    </row>
    <row r="182" spans="1:1" x14ac:dyDescent="0.3">
      <c r="A182">
        <f>INDEX(Dane,10,2)</f>
        <v>1.0269999999999999</v>
      </c>
    </row>
    <row r="183" spans="1:1" x14ac:dyDescent="0.3">
      <c r="A183">
        <f>INDEX(Dane,10,3)</f>
        <v>1.0129999999999999</v>
      </c>
    </row>
    <row r="184" spans="1:1" x14ac:dyDescent="0.3">
      <c r="A184">
        <f>INDEX(Dane,10,4)</f>
        <v>1.0169999999999999</v>
      </c>
    </row>
    <row r="185" spans="1:1" x14ac:dyDescent="0.3">
      <c r="A185">
        <f>INDEX(Dane,10,5)</f>
        <v>1.022</v>
      </c>
    </row>
    <row r="186" spans="1:1" x14ac:dyDescent="0.3">
      <c r="A186">
        <f>INDEX(Dane,10,6)</f>
        <v>0.93700000000000006</v>
      </c>
    </row>
    <row r="187" spans="1:1" x14ac:dyDescent="0.3">
      <c r="A187">
        <f>INDEX(Dane,10,7)</f>
        <v>1.0629999999999999</v>
      </c>
    </row>
    <row r="188" spans="1:1" x14ac:dyDescent="0.3">
      <c r="A188">
        <f>INDEX(Dane,10,8)</f>
        <v>0.96899999999999997</v>
      </c>
    </row>
    <row r="189" spans="1:1" x14ac:dyDescent="0.3">
      <c r="A189">
        <f>INDEX(Dane,10,9)</f>
        <v>0.92500000000000004</v>
      </c>
    </row>
    <row r="190" spans="1:1" x14ac:dyDescent="0.3">
      <c r="A190">
        <f>INDEX(Dane,10,10)</f>
        <v>1.042</v>
      </c>
    </row>
    <row r="191" spans="1:1" x14ac:dyDescent="0.3">
      <c r="A191">
        <f>INDEX(Dane,10,11)</f>
        <v>0.95699999999999996</v>
      </c>
    </row>
    <row r="192" spans="1:1" x14ac:dyDescent="0.3">
      <c r="A192">
        <f>INDEX(Dane,10,12)</f>
        <v>1.0149999999999999</v>
      </c>
    </row>
    <row r="193" spans="1:1" x14ac:dyDescent="0.3">
      <c r="A193">
        <f>INDEX(Dane,10,13)</f>
        <v>1.014</v>
      </c>
    </row>
    <row r="194" spans="1:1" x14ac:dyDescent="0.3">
      <c r="A194">
        <f>INDEX(Dane,10,14)</f>
        <v>0.96799999999999997</v>
      </c>
    </row>
    <row r="195" spans="1:1" x14ac:dyDescent="0.3">
      <c r="A195">
        <f>INDEX(Dane,10,15)</f>
        <v>0.82299999999999995</v>
      </c>
    </row>
    <row r="196" spans="1:1" x14ac:dyDescent="0.3">
      <c r="A196">
        <f>INDEX(Dane,10,16)</f>
        <v>0.95199999999999996</v>
      </c>
    </row>
    <row r="197" spans="1:1" x14ac:dyDescent="0.3">
      <c r="A197">
        <f>INDEX(Dane,10,17)</f>
        <v>1.1080000000000001</v>
      </c>
    </row>
    <row r="198" spans="1:1" x14ac:dyDescent="0.3">
      <c r="A198">
        <f>INDEX(Dane,10,18)</f>
        <v>1.052</v>
      </c>
    </row>
    <row r="199" spans="1:1" x14ac:dyDescent="0.3">
      <c r="A199">
        <f>INDEX(Dane,10,19)</f>
        <v>1.0249999999999999</v>
      </c>
    </row>
    <row r="200" spans="1:1" x14ac:dyDescent="0.3">
      <c r="A200">
        <f>INDEX(Dane,10,20)</f>
        <v>0.97799999999999998</v>
      </c>
    </row>
    <row r="201" spans="1:1" x14ac:dyDescent="0.3">
      <c r="A201">
        <f>INDEX(Dane,11,1)</f>
        <v>1.3660000000000001</v>
      </c>
    </row>
    <row r="202" spans="1:1" x14ac:dyDescent="0.3">
      <c r="A202">
        <f>INDEX(Dane,11,2)</f>
        <v>0.96099999999999997</v>
      </c>
    </row>
    <row r="203" spans="1:1" x14ac:dyDescent="0.3">
      <c r="A203">
        <f>INDEX(Dane,11,3)</f>
        <v>0.95399999999999996</v>
      </c>
    </row>
    <row r="204" spans="1:1" x14ac:dyDescent="0.3">
      <c r="A204">
        <f>INDEX(Dane,11,4)</f>
        <v>1.0960000000000001</v>
      </c>
    </row>
    <row r="205" spans="1:1" x14ac:dyDescent="0.3">
      <c r="A205">
        <f>INDEX(Dane,11,5)</f>
        <v>0.92500000000000004</v>
      </c>
    </row>
    <row r="206" spans="1:1" x14ac:dyDescent="0.3">
      <c r="A206">
        <f>INDEX(Dane,11,6)</f>
        <v>1.01</v>
      </c>
    </row>
    <row r="207" spans="1:1" x14ac:dyDescent="0.3">
      <c r="A207">
        <f>INDEX(Dane,11,7)</f>
        <v>0.93600000000000005</v>
      </c>
    </row>
    <row r="208" spans="1:1" x14ac:dyDescent="0.3">
      <c r="A208">
        <f>INDEX(Dane,11,8)</f>
        <v>0.95299999999999996</v>
      </c>
    </row>
    <row r="209" spans="1:1" x14ac:dyDescent="0.3">
      <c r="A209">
        <f>INDEX(Dane,11,9)</f>
        <v>0.997</v>
      </c>
    </row>
    <row r="210" spans="1:1" x14ac:dyDescent="0.3">
      <c r="A210">
        <f>INDEX(Dane,11,10)</f>
        <v>1.1100000000000001</v>
      </c>
    </row>
    <row r="211" spans="1:1" x14ac:dyDescent="0.3">
      <c r="A211">
        <f>INDEX(Dane,11,11)</f>
        <v>0.88700000000000001</v>
      </c>
    </row>
    <row r="212" spans="1:1" x14ac:dyDescent="0.3">
      <c r="A212">
        <f>INDEX(Dane,11,12)</f>
        <v>0.93100000000000005</v>
      </c>
    </row>
    <row r="213" spans="1:1" x14ac:dyDescent="0.3">
      <c r="A213">
        <f>INDEX(Dane,11,13)</f>
        <v>0.93300000000000005</v>
      </c>
    </row>
    <row r="214" spans="1:1" x14ac:dyDescent="0.3">
      <c r="A214">
        <f>INDEX(Dane,11,14)</f>
        <v>0.88100000000000001</v>
      </c>
    </row>
    <row r="215" spans="1:1" x14ac:dyDescent="0.3">
      <c r="A215">
        <f>INDEX(Dane,11,15)</f>
        <v>1.115</v>
      </c>
    </row>
    <row r="216" spans="1:1" x14ac:dyDescent="0.3">
      <c r="A216">
        <f>INDEX(Dane,11,16)</f>
        <v>1.2170000000000001</v>
      </c>
    </row>
    <row r="217" spans="1:1" x14ac:dyDescent="0.3">
      <c r="A217">
        <f>INDEX(Dane,11,17)</f>
        <v>1.073</v>
      </c>
    </row>
    <row r="218" spans="1:1" x14ac:dyDescent="0.3">
      <c r="A218">
        <f>INDEX(Dane,11,18)</f>
        <v>0.995</v>
      </c>
    </row>
    <row r="219" spans="1:1" x14ac:dyDescent="0.3">
      <c r="A219">
        <f>INDEX(Dane,11,19)</f>
        <v>1.0109999999999999</v>
      </c>
    </row>
    <row r="220" spans="1:1" x14ac:dyDescent="0.3">
      <c r="A220">
        <f>INDEX(Dane,11,20)</f>
        <v>0.995</v>
      </c>
    </row>
    <row r="221" spans="1:1" x14ac:dyDescent="0.3">
      <c r="A221">
        <f>INDEX(Dane,12,1)</f>
        <v>0.93600000000000005</v>
      </c>
    </row>
    <row r="222" spans="1:1" x14ac:dyDescent="0.3">
      <c r="A222">
        <f>INDEX(Dane,12,2)</f>
        <v>1.0089999999999999</v>
      </c>
    </row>
    <row r="223" spans="1:1" x14ac:dyDescent="0.3">
      <c r="A223">
        <f>INDEX(Dane,12,3)</f>
        <v>1.1299999999999999</v>
      </c>
    </row>
    <row r="224" spans="1:1" x14ac:dyDescent="0.3">
      <c r="A224">
        <f>INDEX(Dane,12,4)</f>
        <v>1.1679999999999999</v>
      </c>
    </row>
    <row r="225" spans="1:1" x14ac:dyDescent="0.3">
      <c r="A225">
        <f>INDEX(Dane,12,5)</f>
        <v>1.1439999999999999</v>
      </c>
    </row>
    <row r="226" spans="1:1" x14ac:dyDescent="0.3">
      <c r="A226">
        <f>INDEX(Dane,12,6)</f>
        <v>1.1359999999999999</v>
      </c>
    </row>
    <row r="227" spans="1:1" x14ac:dyDescent="0.3">
      <c r="A227">
        <f>INDEX(Dane,12,7)</f>
        <v>0.99199999999999999</v>
      </c>
    </row>
    <row r="228" spans="1:1" x14ac:dyDescent="0.3">
      <c r="A228">
        <f>INDEX(Dane,12,8)</f>
        <v>0.99299999999999999</v>
      </c>
    </row>
    <row r="229" spans="1:1" x14ac:dyDescent="0.3">
      <c r="A229">
        <f>INDEX(Dane,12,9)</f>
        <v>1.0489999999999999</v>
      </c>
    </row>
    <row r="230" spans="1:1" x14ac:dyDescent="0.3">
      <c r="A230">
        <f>INDEX(Dane,12,10)</f>
        <v>1.0649999999999999</v>
      </c>
    </row>
    <row r="231" spans="1:1" x14ac:dyDescent="0.3">
      <c r="A231">
        <f>INDEX(Dane,12,11)</f>
        <v>1.097</v>
      </c>
    </row>
    <row r="232" spans="1:1" x14ac:dyDescent="0.3">
      <c r="A232">
        <f>INDEX(Dane,12,12)</f>
        <v>1.2</v>
      </c>
    </row>
    <row r="233" spans="1:1" x14ac:dyDescent="0.3">
      <c r="A233">
        <f>INDEX(Dane,12,13)</f>
        <v>1.008</v>
      </c>
    </row>
    <row r="234" spans="1:1" x14ac:dyDescent="0.3">
      <c r="A234">
        <f>INDEX(Dane,12,14)</f>
        <v>1.008</v>
      </c>
    </row>
    <row r="235" spans="1:1" x14ac:dyDescent="0.3">
      <c r="A235">
        <f>INDEX(Dane,12,15)</f>
        <v>0.96799999999999997</v>
      </c>
    </row>
    <row r="236" spans="1:1" x14ac:dyDescent="0.3">
      <c r="A236">
        <f>INDEX(Dane,12,16)</f>
        <v>1.1120000000000001</v>
      </c>
    </row>
    <row r="237" spans="1:1" x14ac:dyDescent="0.3">
      <c r="A237">
        <f>INDEX(Dane,12,17)</f>
        <v>1.04</v>
      </c>
    </row>
    <row r="238" spans="1:1" x14ac:dyDescent="0.3">
      <c r="A238">
        <f>INDEX(Dane,12,18)</f>
        <v>1.2</v>
      </c>
    </row>
    <row r="239" spans="1:1" x14ac:dyDescent="0.3">
      <c r="A239">
        <f>INDEX(Dane,12,19)</f>
        <v>1.0249999999999999</v>
      </c>
    </row>
    <row r="240" spans="1:1" x14ac:dyDescent="0.3">
      <c r="A240">
        <f>INDEX(Dane,12,20)</f>
        <v>1</v>
      </c>
    </row>
    <row r="241" spans="1:1" x14ac:dyDescent="0.3">
      <c r="A241">
        <f>INDEX(Dane,13,1)</f>
        <v>1.2589999999999999</v>
      </c>
    </row>
    <row r="242" spans="1:1" x14ac:dyDescent="0.3">
      <c r="A242">
        <f>INDEX(Dane,13,2)</f>
        <v>1.0649999999999999</v>
      </c>
    </row>
    <row r="243" spans="1:1" x14ac:dyDescent="0.3">
      <c r="A243">
        <f>INDEX(Dane,13,3)</f>
        <v>0.96799999999999997</v>
      </c>
    </row>
    <row r="244" spans="1:1" x14ac:dyDescent="0.3">
      <c r="A244">
        <f>INDEX(Dane,13,4)</f>
        <v>1.042</v>
      </c>
    </row>
    <row r="245" spans="1:1" x14ac:dyDescent="0.3">
      <c r="A245">
        <f>INDEX(Dane,13,5)</f>
        <v>0.93700000000000006</v>
      </c>
    </row>
    <row r="246" spans="1:1" x14ac:dyDescent="0.3">
      <c r="A246">
        <f>INDEX(Dane,13,6)</f>
        <v>1.0649999999999999</v>
      </c>
    </row>
    <row r="247" spans="1:1" x14ac:dyDescent="0.3">
      <c r="A247">
        <f>INDEX(Dane,13,7)</f>
        <v>1.018</v>
      </c>
    </row>
    <row r="248" spans="1:1" x14ac:dyDescent="0.3">
      <c r="A248">
        <f>INDEX(Dane,13,8)</f>
        <v>1.08</v>
      </c>
    </row>
    <row r="249" spans="1:1" x14ac:dyDescent="0.3">
      <c r="A249">
        <f>INDEX(Dane,13,9)</f>
        <v>1.1779999999999999</v>
      </c>
    </row>
    <row r="250" spans="1:1" x14ac:dyDescent="0.3">
      <c r="A250">
        <f>INDEX(Dane,13,10)</f>
        <v>0.95099999999999996</v>
      </c>
    </row>
    <row r="251" spans="1:1" x14ac:dyDescent="0.3">
      <c r="A251">
        <f>INDEX(Dane,13,11)</f>
        <v>0.86899999999999999</v>
      </c>
    </row>
    <row r="252" spans="1:1" x14ac:dyDescent="0.3">
      <c r="A252">
        <f>INDEX(Dane,13,12)</f>
        <v>0.98799999999999999</v>
      </c>
    </row>
    <row r="253" spans="1:1" x14ac:dyDescent="0.3">
      <c r="A253">
        <f>INDEX(Dane,13,13)</f>
        <v>1.0940000000000001</v>
      </c>
    </row>
    <row r="254" spans="1:1" x14ac:dyDescent="0.3">
      <c r="A254">
        <f>INDEX(Dane,13,14)</f>
        <v>0.89900000000000002</v>
      </c>
    </row>
    <row r="255" spans="1:1" x14ac:dyDescent="0.3">
      <c r="A255">
        <f>INDEX(Dane,13,15)</f>
        <v>1.071</v>
      </c>
    </row>
    <row r="256" spans="1:1" x14ac:dyDescent="0.3">
      <c r="A256">
        <f>INDEX(Dane,13,16)</f>
        <v>1.117</v>
      </c>
    </row>
    <row r="257" spans="1:1" x14ac:dyDescent="0.3">
      <c r="A257">
        <f>INDEX(Dane,13,17)</f>
        <v>0.97299999999999998</v>
      </c>
    </row>
    <row r="258" spans="1:1" x14ac:dyDescent="0.3">
      <c r="A258">
        <f>INDEX(Dane,13,18)</f>
        <v>0.98299999999999998</v>
      </c>
    </row>
    <row r="259" spans="1:1" x14ac:dyDescent="0.3">
      <c r="A259">
        <f>INDEX(Dane,13,19)</f>
        <v>0.98399999999999999</v>
      </c>
    </row>
    <row r="260" spans="1:1" x14ac:dyDescent="0.3">
      <c r="A260">
        <f>INDEX(Dane,13,20)</f>
        <v>1.05</v>
      </c>
    </row>
    <row r="261" spans="1:1" x14ac:dyDescent="0.3">
      <c r="A261">
        <f>INDEX(Dane,14,1)</f>
        <v>0.93700000000000006</v>
      </c>
    </row>
    <row r="262" spans="1:1" x14ac:dyDescent="0.3">
      <c r="A262">
        <f>INDEX(Dane,14,2)</f>
        <v>1.089</v>
      </c>
    </row>
    <row r="263" spans="1:1" x14ac:dyDescent="0.3">
      <c r="A263">
        <f>INDEX(Dane,14,3)</f>
        <v>0.90500000000000003</v>
      </c>
    </row>
    <row r="264" spans="1:1" x14ac:dyDescent="0.3">
      <c r="A264">
        <f>INDEX(Dane,14,4)</f>
        <v>0.94099999999999995</v>
      </c>
    </row>
    <row r="265" spans="1:1" x14ac:dyDescent="0.3">
      <c r="A265">
        <f>INDEX(Dane,14,5)</f>
        <v>0.99399999999999999</v>
      </c>
    </row>
    <row r="266" spans="1:1" x14ac:dyDescent="0.3">
      <c r="A266">
        <f>INDEX(Dane,14,6)</f>
        <v>0.98599999999999999</v>
      </c>
    </row>
    <row r="267" spans="1:1" x14ac:dyDescent="0.3">
      <c r="A267">
        <f>INDEX(Dane,14,7)</f>
        <v>1.012</v>
      </c>
    </row>
    <row r="268" spans="1:1" x14ac:dyDescent="0.3">
      <c r="A268">
        <f>INDEX(Dane,14,8)</f>
        <v>1.026</v>
      </c>
    </row>
    <row r="269" spans="1:1" x14ac:dyDescent="0.3">
      <c r="A269">
        <f>INDEX(Dane,14,9)</f>
        <v>0.98199999999999998</v>
      </c>
    </row>
    <row r="270" spans="1:1" x14ac:dyDescent="0.3">
      <c r="A270">
        <f>INDEX(Dane,14,10)</f>
        <v>0.96799999999999997</v>
      </c>
    </row>
    <row r="271" spans="1:1" x14ac:dyDescent="0.3">
      <c r="A271">
        <f>INDEX(Dane,14,11)</f>
        <v>0.93300000000000005</v>
      </c>
    </row>
    <row r="272" spans="1:1" x14ac:dyDescent="0.3">
      <c r="A272">
        <f>INDEX(Dane,14,12)</f>
        <v>0.94099999999999995</v>
      </c>
    </row>
    <row r="273" spans="1:1" x14ac:dyDescent="0.3">
      <c r="A273">
        <f>INDEX(Dane,14,13)</f>
        <v>0.95599999999999996</v>
      </c>
    </row>
    <row r="274" spans="1:1" x14ac:dyDescent="0.3">
      <c r="A274">
        <f>INDEX(Dane,14,14)</f>
        <v>1.042</v>
      </c>
    </row>
    <row r="275" spans="1:1" x14ac:dyDescent="0.3">
      <c r="A275">
        <f>INDEX(Dane,14,15)</f>
        <v>0.86099999999999999</v>
      </c>
    </row>
    <row r="276" spans="1:1" x14ac:dyDescent="0.3">
      <c r="A276">
        <f>INDEX(Dane,14,16)</f>
        <v>1.0289999999999999</v>
      </c>
    </row>
    <row r="277" spans="1:1" x14ac:dyDescent="0.3">
      <c r="A277">
        <f>INDEX(Dane,14,17)</f>
        <v>1.0589999999999999</v>
      </c>
    </row>
    <row r="278" spans="1:1" x14ac:dyDescent="0.3">
      <c r="A278">
        <f>INDEX(Dane,14,18)</f>
        <v>1.0309999999999999</v>
      </c>
    </row>
    <row r="279" spans="1:1" x14ac:dyDescent="0.3">
      <c r="A279">
        <f>INDEX(Dane,14,19)</f>
        <v>0.96099999999999997</v>
      </c>
    </row>
    <row r="280" spans="1:1" x14ac:dyDescent="0.3">
      <c r="A280">
        <f>INDEX(Dane,14,20)</f>
        <v>0.93799999999999994</v>
      </c>
    </row>
    <row r="281" spans="1:1" x14ac:dyDescent="0.3">
      <c r="A281">
        <f>INDEX(Dane,15,1)</f>
        <v>0.97899999999999998</v>
      </c>
    </row>
    <row r="282" spans="1:1" x14ac:dyDescent="0.3">
      <c r="A282">
        <f>INDEX(Dane,15,2)</f>
        <v>1.0369999999999999</v>
      </c>
    </row>
    <row r="283" spans="1:1" x14ac:dyDescent="0.3">
      <c r="A283">
        <f>INDEX(Dane,15,3)</f>
        <v>0.93</v>
      </c>
    </row>
    <row r="284" spans="1:1" x14ac:dyDescent="0.3">
      <c r="A284">
        <f>INDEX(Dane,15,4)</f>
        <v>0.98</v>
      </c>
    </row>
    <row r="285" spans="1:1" x14ac:dyDescent="0.3">
      <c r="A285">
        <f>INDEX(Dane,15,5)</f>
        <v>0.98799999999999999</v>
      </c>
    </row>
    <row r="286" spans="1:1" x14ac:dyDescent="0.3">
      <c r="A286">
        <f>INDEX(Dane,15,6)</f>
        <v>0.94899999999999995</v>
      </c>
    </row>
    <row r="287" spans="1:1" x14ac:dyDescent="0.3">
      <c r="A287">
        <f>INDEX(Dane,15,7)</f>
        <v>0.96499999999999997</v>
      </c>
    </row>
    <row r="288" spans="1:1" x14ac:dyDescent="0.3">
      <c r="A288">
        <f>INDEX(Dane,15,8)</f>
        <v>1.0009999999999999</v>
      </c>
    </row>
    <row r="289" spans="1:1" x14ac:dyDescent="0.3">
      <c r="A289">
        <f>INDEX(Dane,15,9)</f>
        <v>1.002</v>
      </c>
    </row>
    <row r="290" spans="1:1" x14ac:dyDescent="0.3">
      <c r="A290">
        <f>INDEX(Dane,15,10)</f>
        <v>0.999</v>
      </c>
    </row>
    <row r="291" spans="1:1" x14ac:dyDescent="0.3">
      <c r="A291">
        <f>INDEX(Dane,15,11)</f>
        <v>1.0209999999999999</v>
      </c>
    </row>
    <row r="292" spans="1:1" x14ac:dyDescent="0.3">
      <c r="A292">
        <f>INDEX(Dane,15,12)</f>
        <v>0.996</v>
      </c>
    </row>
    <row r="293" spans="1:1" x14ac:dyDescent="0.3">
      <c r="A293">
        <f>INDEX(Dane,15,13)</f>
        <v>0.97499999999999998</v>
      </c>
    </row>
    <row r="294" spans="1:1" x14ac:dyDescent="0.3">
      <c r="A294">
        <f>INDEX(Dane,15,14)</f>
        <v>1.01</v>
      </c>
    </row>
    <row r="295" spans="1:1" x14ac:dyDescent="0.3">
      <c r="A295">
        <f>INDEX(Dane,15,15)</f>
        <v>0.95699999999999996</v>
      </c>
    </row>
    <row r="296" spans="1:1" x14ac:dyDescent="0.3">
      <c r="A296">
        <f>INDEX(Dane,15,16)</f>
        <v>0.98799999999999999</v>
      </c>
    </row>
    <row r="297" spans="1:1" x14ac:dyDescent="0.3">
      <c r="A297">
        <f>INDEX(Dane,15,17)</f>
        <v>0.996</v>
      </c>
    </row>
    <row r="298" spans="1:1" x14ac:dyDescent="0.3">
      <c r="A298">
        <f>INDEX(Dane,15,18)</f>
        <v>0.98299999999999998</v>
      </c>
    </row>
    <row r="299" spans="1:1" x14ac:dyDescent="0.3">
      <c r="A299">
        <f>INDEX(Dane,15,19)</f>
        <v>1.002</v>
      </c>
    </row>
    <row r="300" spans="1:1" x14ac:dyDescent="0.3">
      <c r="A300">
        <f>INDEX(Dane,15,20)</f>
        <v>1.0740000000000001</v>
      </c>
    </row>
    <row r="301" spans="1:1" x14ac:dyDescent="0.3">
      <c r="A301">
        <f>INDEX(Dane,16,1)</f>
        <v>0.96</v>
      </c>
    </row>
    <row r="302" spans="1:1" x14ac:dyDescent="0.3">
      <c r="A302">
        <f>INDEX(Dane,16,2)</f>
        <v>1.129</v>
      </c>
    </row>
    <row r="303" spans="1:1" x14ac:dyDescent="0.3">
      <c r="A303">
        <f>INDEX(Dane,16,3)</f>
        <v>0.90600000000000003</v>
      </c>
    </row>
    <row r="304" spans="1:1" x14ac:dyDescent="0.3">
      <c r="A304">
        <f>INDEX(Dane,16,4)</f>
        <v>1</v>
      </c>
    </row>
    <row r="305" spans="1:1" x14ac:dyDescent="0.3">
      <c r="A305">
        <f>INDEX(Dane,16,5)</f>
        <v>1.0329999999999999</v>
      </c>
    </row>
    <row r="306" spans="1:1" x14ac:dyDescent="0.3">
      <c r="A306">
        <f>INDEX(Dane,16,6)</f>
        <v>0.91400000000000003</v>
      </c>
    </row>
    <row r="307" spans="1:1" x14ac:dyDescent="0.3">
      <c r="A307">
        <f>INDEX(Dane,16,7)</f>
        <v>0.85799999999999998</v>
      </c>
    </row>
    <row r="308" spans="1:1" x14ac:dyDescent="0.3">
      <c r="A308">
        <f>INDEX(Dane,16,8)</f>
        <v>1.0920000000000001</v>
      </c>
    </row>
    <row r="309" spans="1:1" x14ac:dyDescent="0.3">
      <c r="A309">
        <f>INDEX(Dane,16,9)</f>
        <v>0.91200000000000003</v>
      </c>
    </row>
    <row r="310" spans="1:1" x14ac:dyDescent="0.3">
      <c r="A310">
        <f>INDEX(Dane,16,10)</f>
        <v>0.95099999999999996</v>
      </c>
    </row>
    <row r="311" spans="1:1" x14ac:dyDescent="0.3">
      <c r="A311">
        <f>INDEX(Dane,16,11)</f>
        <v>0.90300000000000002</v>
      </c>
    </row>
    <row r="312" spans="1:1" x14ac:dyDescent="0.3">
      <c r="A312">
        <f>INDEX(Dane,16,12)</f>
        <v>1.0329999999999999</v>
      </c>
    </row>
    <row r="313" spans="1:1" x14ac:dyDescent="0.3">
      <c r="A313">
        <f>INDEX(Dane,16,13)</f>
        <v>1.121</v>
      </c>
    </row>
    <row r="314" spans="1:1" x14ac:dyDescent="0.3">
      <c r="A314">
        <f>INDEX(Dane,16,14)</f>
        <v>0.85899999999999999</v>
      </c>
    </row>
    <row r="315" spans="1:1" x14ac:dyDescent="0.3">
      <c r="A315">
        <f>INDEX(Dane,16,15)</f>
        <v>1.1659999999999999</v>
      </c>
    </row>
    <row r="316" spans="1:1" x14ac:dyDescent="0.3">
      <c r="A316">
        <f>INDEX(Dane,16,16)</f>
        <v>0.83599999999999997</v>
      </c>
    </row>
    <row r="317" spans="1:1" x14ac:dyDescent="0.3">
      <c r="A317">
        <f>INDEX(Dane,16,17)</f>
        <v>1.095</v>
      </c>
    </row>
    <row r="318" spans="1:1" x14ac:dyDescent="0.3">
      <c r="A318">
        <f>INDEX(Dane,16,18)</f>
        <v>1.1559999999999999</v>
      </c>
    </row>
    <row r="319" spans="1:1" x14ac:dyDescent="0.3">
      <c r="A319">
        <f>INDEX(Dane,16,19)</f>
        <v>0.99299999999999999</v>
      </c>
    </row>
    <row r="320" spans="1:1" x14ac:dyDescent="0.3">
      <c r="A320">
        <f>INDEX(Dane,16,20)</f>
        <v>1.0860000000000001</v>
      </c>
    </row>
    <row r="321" spans="1:1" x14ac:dyDescent="0.3">
      <c r="A321">
        <f>INDEX(Dane,17,1)</f>
        <v>0.91800000000000004</v>
      </c>
    </row>
    <row r="322" spans="1:1" x14ac:dyDescent="0.3">
      <c r="A322">
        <f>INDEX(Dane,17,2)</f>
        <v>1.095</v>
      </c>
    </row>
    <row r="323" spans="1:1" x14ac:dyDescent="0.3">
      <c r="A323">
        <f>INDEX(Dane,17,3)</f>
        <v>1.1120000000000001</v>
      </c>
    </row>
    <row r="324" spans="1:1" x14ac:dyDescent="0.3">
      <c r="A324">
        <f>INDEX(Dane,17,4)</f>
        <v>0.94899999999999995</v>
      </c>
    </row>
    <row r="325" spans="1:1" x14ac:dyDescent="0.3">
      <c r="A325">
        <f>INDEX(Dane,17,5)</f>
        <v>1.0569999999999999</v>
      </c>
    </row>
    <row r="326" spans="1:1" x14ac:dyDescent="0.3">
      <c r="A326">
        <f>INDEX(Dane,17,6)</f>
        <v>1.0920000000000001</v>
      </c>
    </row>
    <row r="327" spans="1:1" x14ac:dyDescent="0.3">
      <c r="A327">
        <f>INDEX(Dane,17,7)</f>
        <v>1.0529999999999999</v>
      </c>
    </row>
    <row r="328" spans="1:1" x14ac:dyDescent="0.3">
      <c r="A328">
        <f>INDEX(Dane,17,8)</f>
        <v>0.997</v>
      </c>
    </row>
    <row r="329" spans="1:1" x14ac:dyDescent="0.3">
      <c r="A329">
        <f>INDEX(Dane,17,9)</f>
        <v>0.84499999999999997</v>
      </c>
    </row>
    <row r="330" spans="1:1" x14ac:dyDescent="0.3">
      <c r="A330">
        <f>INDEX(Dane,17,10)</f>
        <v>0.85199999999999998</v>
      </c>
    </row>
    <row r="331" spans="1:1" x14ac:dyDescent="0.3">
      <c r="A331">
        <f>INDEX(Dane,17,11)</f>
        <v>0.89800000000000002</v>
      </c>
    </row>
    <row r="332" spans="1:1" x14ac:dyDescent="0.3">
      <c r="A332">
        <f>INDEX(Dane,17,12)</f>
        <v>0.99199999999999999</v>
      </c>
    </row>
    <row r="333" spans="1:1" x14ac:dyDescent="0.3">
      <c r="A333">
        <f>INDEX(Dane,17,13)</f>
        <v>1.05</v>
      </c>
    </row>
    <row r="334" spans="1:1" x14ac:dyDescent="0.3">
      <c r="A334">
        <f>INDEX(Dane,17,14)</f>
        <v>1.0740000000000001</v>
      </c>
    </row>
    <row r="335" spans="1:1" x14ac:dyDescent="0.3">
      <c r="A335">
        <f>INDEX(Dane,17,15)</f>
        <v>1.046</v>
      </c>
    </row>
    <row r="336" spans="1:1" x14ac:dyDescent="0.3">
      <c r="A336">
        <f>INDEX(Dane,17,16)</f>
        <v>1.06</v>
      </c>
    </row>
    <row r="337" spans="1:1" x14ac:dyDescent="0.3">
      <c r="A337">
        <f>INDEX(Dane,17,17)</f>
        <v>1.022</v>
      </c>
    </row>
    <row r="338" spans="1:1" x14ac:dyDescent="0.3">
      <c r="A338">
        <f>INDEX(Dane,17,18)</f>
        <v>0.999</v>
      </c>
    </row>
    <row r="339" spans="1:1" x14ac:dyDescent="0.3">
      <c r="A339">
        <f>INDEX(Dane,17,19)</f>
        <v>1.022</v>
      </c>
    </row>
    <row r="340" spans="1:1" x14ac:dyDescent="0.3">
      <c r="A340">
        <f>INDEX(Dane,17,20)</f>
        <v>1.002</v>
      </c>
    </row>
    <row r="341" spans="1:1" x14ac:dyDescent="0.3">
      <c r="A341">
        <f>INDEX(Dane,18,1)</f>
        <v>0.99099999999999999</v>
      </c>
    </row>
    <row r="342" spans="1:1" x14ac:dyDescent="0.3">
      <c r="A342">
        <f>INDEX(Dane,18,2)</f>
        <v>0.97</v>
      </c>
    </row>
    <row r="343" spans="1:1" x14ac:dyDescent="0.3">
      <c r="A343">
        <f>INDEX(Dane,18,3)</f>
        <v>1.111</v>
      </c>
    </row>
    <row r="344" spans="1:1" x14ac:dyDescent="0.3">
      <c r="A344">
        <f>INDEX(Dane,18,4)</f>
        <v>1.0760000000000001</v>
      </c>
    </row>
    <row r="345" spans="1:1" x14ac:dyDescent="0.3">
      <c r="A345">
        <f>INDEX(Dane,18,5)</f>
        <v>1.0469999999999999</v>
      </c>
    </row>
    <row r="346" spans="1:1" x14ac:dyDescent="0.3">
      <c r="A346">
        <f>INDEX(Dane,18,6)</f>
        <v>0.86599999999999999</v>
      </c>
    </row>
    <row r="347" spans="1:1" x14ac:dyDescent="0.3">
      <c r="A347">
        <f>INDEX(Dane,18,7)</f>
        <v>1.0469999999999999</v>
      </c>
    </row>
    <row r="348" spans="1:1" x14ac:dyDescent="0.3">
      <c r="A348">
        <f>INDEX(Dane,18,8)</f>
        <v>0.98799999999999999</v>
      </c>
    </row>
    <row r="349" spans="1:1" x14ac:dyDescent="0.3">
      <c r="A349">
        <f>INDEX(Dane,18,9)</f>
        <v>0.94399999999999995</v>
      </c>
    </row>
    <row r="350" spans="1:1" x14ac:dyDescent="0.3">
      <c r="A350">
        <f>INDEX(Dane,18,10)</f>
        <v>0.998</v>
      </c>
    </row>
    <row r="351" spans="1:1" x14ac:dyDescent="0.3">
      <c r="A351">
        <f>INDEX(Dane,18,11)</f>
        <v>1.004</v>
      </c>
    </row>
    <row r="352" spans="1:1" x14ac:dyDescent="0.3">
      <c r="A352">
        <f>INDEX(Dane,18,12)</f>
        <v>1.016</v>
      </c>
    </row>
    <row r="353" spans="1:1" x14ac:dyDescent="0.3">
      <c r="A353">
        <f>INDEX(Dane,18,13)</f>
        <v>0.95399999999999996</v>
      </c>
    </row>
    <row r="354" spans="1:1" x14ac:dyDescent="0.3">
      <c r="A354">
        <f>INDEX(Dane,18,14)</f>
        <v>1.0229999999999999</v>
      </c>
    </row>
    <row r="355" spans="1:1" x14ac:dyDescent="0.3">
      <c r="A355">
        <f>INDEX(Dane,18,15)</f>
        <v>1.113</v>
      </c>
    </row>
    <row r="356" spans="1:1" x14ac:dyDescent="0.3">
      <c r="A356">
        <f>INDEX(Dane,18,16)</f>
        <v>1.014</v>
      </c>
    </row>
    <row r="357" spans="1:1" x14ac:dyDescent="0.3">
      <c r="A357">
        <f>INDEX(Dane,18,17)</f>
        <v>1.0069999999999999</v>
      </c>
    </row>
    <row r="358" spans="1:1" x14ac:dyDescent="0.3">
      <c r="A358">
        <f>INDEX(Dane,18,18)</f>
        <v>0.92100000000000004</v>
      </c>
    </row>
    <row r="359" spans="1:1" x14ac:dyDescent="0.3">
      <c r="A359">
        <f>INDEX(Dane,18,19)</f>
        <v>1.004</v>
      </c>
    </row>
    <row r="360" spans="1:1" x14ac:dyDescent="0.3">
      <c r="A360">
        <f>INDEX(Dane,18,20)</f>
        <v>1.054</v>
      </c>
    </row>
    <row r="361" spans="1:1" x14ac:dyDescent="0.3">
      <c r="A361">
        <f>INDEX(Dane,19,1)</f>
        <v>1.038</v>
      </c>
    </row>
    <row r="362" spans="1:1" x14ac:dyDescent="0.3">
      <c r="A362">
        <f>INDEX(Dane,19,2)</f>
        <v>0.89400000000000002</v>
      </c>
    </row>
    <row r="363" spans="1:1" x14ac:dyDescent="0.3">
      <c r="A363">
        <f>INDEX(Dane,19,3)</f>
        <v>1.095</v>
      </c>
    </row>
    <row r="364" spans="1:1" x14ac:dyDescent="0.3">
      <c r="A364">
        <f>INDEX(Dane,19,4)</f>
        <v>0.91500000000000004</v>
      </c>
    </row>
    <row r="365" spans="1:1" x14ac:dyDescent="0.3">
      <c r="A365">
        <f>INDEX(Dane,19,5)</f>
        <v>0.92300000000000004</v>
      </c>
    </row>
    <row r="366" spans="1:1" x14ac:dyDescent="0.3">
      <c r="A366">
        <f>INDEX(Dane,19,6)</f>
        <v>0.88100000000000001</v>
      </c>
    </row>
    <row r="367" spans="1:1" x14ac:dyDescent="0.3">
      <c r="A367">
        <f>INDEX(Dane,19,7)</f>
        <v>1.1259999999999999</v>
      </c>
    </row>
    <row r="368" spans="1:1" x14ac:dyDescent="0.3">
      <c r="A368">
        <f>INDEX(Dane,19,8)</f>
        <v>1.004</v>
      </c>
    </row>
    <row r="369" spans="1:1" x14ac:dyDescent="0.3">
      <c r="A369">
        <f>INDEX(Dane,19,9)</f>
        <v>0.91900000000000004</v>
      </c>
    </row>
    <row r="370" spans="1:1" x14ac:dyDescent="0.3">
      <c r="A370">
        <f>INDEX(Dane,19,10)</f>
        <v>1.038</v>
      </c>
    </row>
    <row r="371" spans="1:1" x14ac:dyDescent="0.3">
      <c r="A371">
        <f>INDEX(Dane,19,11)</f>
        <v>1.0069999999999999</v>
      </c>
    </row>
    <row r="372" spans="1:1" x14ac:dyDescent="0.3">
      <c r="A372">
        <f>INDEX(Dane,19,12)</f>
        <v>0.89100000000000001</v>
      </c>
    </row>
    <row r="373" spans="1:1" x14ac:dyDescent="0.3">
      <c r="A373">
        <f>INDEX(Dane,19,13)</f>
        <v>1.0669999999999999</v>
      </c>
    </row>
    <row r="374" spans="1:1" x14ac:dyDescent="0.3">
      <c r="A374">
        <f>INDEX(Dane,19,14)</f>
        <v>1.0069999999999999</v>
      </c>
    </row>
    <row r="375" spans="1:1" x14ac:dyDescent="0.3">
      <c r="A375">
        <f>INDEX(Dane,19,15)</f>
        <v>1.0760000000000001</v>
      </c>
    </row>
    <row r="376" spans="1:1" x14ac:dyDescent="0.3">
      <c r="A376">
        <f>INDEX(Dane,19,16)</f>
        <v>1.036</v>
      </c>
    </row>
    <row r="377" spans="1:1" x14ac:dyDescent="0.3">
      <c r="A377">
        <f>INDEX(Dane,19,17)</f>
        <v>1.0149999999999999</v>
      </c>
    </row>
    <row r="378" spans="1:1" x14ac:dyDescent="0.3">
      <c r="A378">
        <f>INDEX(Dane,19,18)</f>
        <v>0.95</v>
      </c>
    </row>
    <row r="379" spans="1:1" x14ac:dyDescent="0.3">
      <c r="A379">
        <f>INDEX(Dane,19,19)</f>
        <v>1.19</v>
      </c>
    </row>
    <row r="380" spans="1:1" x14ac:dyDescent="0.3">
      <c r="A380">
        <f>INDEX(Dane,19,20)</f>
        <v>0.84299999999999997</v>
      </c>
    </row>
    <row r="381" spans="1:1" x14ac:dyDescent="0.3">
      <c r="A381">
        <f>INDEX(Dane,20,1)</f>
        <v>1.0760000000000001</v>
      </c>
    </row>
    <row r="382" spans="1:1" x14ac:dyDescent="0.3">
      <c r="A382">
        <f>INDEX(Dane,20,2)</f>
        <v>0.95899999999999996</v>
      </c>
    </row>
    <row r="383" spans="1:1" x14ac:dyDescent="0.3">
      <c r="A383">
        <f>INDEX(Dane,20,3)</f>
        <v>1.0509999999999999</v>
      </c>
    </row>
    <row r="384" spans="1:1" x14ac:dyDescent="0.3">
      <c r="A384">
        <f>INDEX(Dane,20,4)</f>
        <v>1.0980000000000001</v>
      </c>
    </row>
    <row r="385" spans="1:1" x14ac:dyDescent="0.3">
      <c r="A385">
        <f>INDEX(Dane,20,5)</f>
        <v>0.92700000000000005</v>
      </c>
    </row>
    <row r="386" spans="1:1" x14ac:dyDescent="0.3">
      <c r="A386">
        <f>INDEX(Dane,20,6)</f>
        <v>0.73399999999999999</v>
      </c>
    </row>
    <row r="387" spans="1:1" x14ac:dyDescent="0.3">
      <c r="A387">
        <f>INDEX(Dane,20,7)</f>
        <v>1.0349999999999999</v>
      </c>
    </row>
    <row r="388" spans="1:1" x14ac:dyDescent="0.3">
      <c r="A388">
        <f>INDEX(Dane,20,8)</f>
        <v>0.747</v>
      </c>
    </row>
    <row r="389" spans="1:1" x14ac:dyDescent="0.3">
      <c r="A389">
        <f>INDEX(Dane,20,9)</f>
        <v>1.3240000000000001</v>
      </c>
    </row>
    <row r="390" spans="1:1" x14ac:dyDescent="0.3">
      <c r="A390">
        <f>INDEX(Dane,20,10)</f>
        <v>1.024</v>
      </c>
    </row>
    <row r="391" spans="1:1" x14ac:dyDescent="0.3">
      <c r="A391">
        <f>INDEX(Dane,20,11)</f>
        <v>1.0169999999999999</v>
      </c>
    </row>
    <row r="392" spans="1:1" x14ac:dyDescent="0.3">
      <c r="A392">
        <f>INDEX(Dane,20,12)</f>
        <v>1.028</v>
      </c>
    </row>
    <row r="393" spans="1:1" x14ac:dyDescent="0.3">
      <c r="A393">
        <f>INDEX(Dane,20,13)</f>
        <v>0.97899999999999998</v>
      </c>
    </row>
    <row r="394" spans="1:1" x14ac:dyDescent="0.3">
      <c r="A394">
        <f>INDEX(Dane,20,14)</f>
        <v>1.002</v>
      </c>
    </row>
    <row r="395" spans="1:1" x14ac:dyDescent="0.3">
      <c r="A395">
        <f>INDEX(Dane,20,15)</f>
        <v>0.995</v>
      </c>
    </row>
    <row r="396" spans="1:1" x14ac:dyDescent="0.3">
      <c r="A396">
        <f>INDEX(Dane,20,16)</f>
        <v>1.01</v>
      </c>
    </row>
    <row r="397" spans="1:1" x14ac:dyDescent="0.3">
      <c r="A397">
        <f>INDEX(Dane,20,17)</f>
        <v>0.99299999999999999</v>
      </c>
    </row>
    <row r="398" spans="1:1" x14ac:dyDescent="0.3">
      <c r="A398">
        <f>INDEX(Dane,20,18)</f>
        <v>0.95499999999999996</v>
      </c>
    </row>
    <row r="399" spans="1:1" x14ac:dyDescent="0.3">
      <c r="A399">
        <f>INDEX(Dane,20,19)</f>
        <v>1.0129999999999999</v>
      </c>
    </row>
    <row r="400" spans="1:1" x14ac:dyDescent="0.3">
      <c r="A400">
        <f>INDEX(Dane,20,20)</f>
        <v>1.0529999999999999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olumna_D">
                <anchor moveWithCells="1" sizeWithCells="1">
                  <from>
                    <xdr:col>1</xdr:col>
                    <xdr:colOff>152400</xdr:colOff>
                    <xdr:row>0</xdr:row>
                    <xdr:rowOff>68580</xdr:rowOff>
                  </from>
                  <to>
                    <xdr:col>1</xdr:col>
                    <xdr:colOff>1531620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1</vt:i4>
      </vt:variant>
    </vt:vector>
  </HeadingPairs>
  <TitlesOfParts>
    <vt:vector size="2" baseType="lpstr">
      <vt:lpstr>Arkusz1</vt:lpstr>
      <vt:lpstr>Dane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48691</dc:creator>
  <cp:lastModifiedBy>48691</cp:lastModifiedBy>
  <dcterms:created xsi:type="dcterms:W3CDTF">2021-03-30T15:45:22Z</dcterms:created>
  <dcterms:modified xsi:type="dcterms:W3CDTF">2021-04-07T16:48:51Z</dcterms:modified>
</cp:coreProperties>
</file>